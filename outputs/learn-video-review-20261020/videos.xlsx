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2995d6c0fc42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ideo review" sheetId="1" r:id="Rb4e84453481544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6">
    <x:font>
      <x:sz val="11"/>
      <x:name val="Carlito"/>
    </x:font>
    <x:font>
      <x:b/>
      <x:sz val="16"/>
      <x:name val="Arial"/>
    </x:font>
    <x:font>
      <x:sz val="11"/>
      <x:name val="Arial"/>
    </x:font>
    <x:font>
      <x:b/>
      <x:sz val="11"/>
      <x:color rgb="FFFFFFFF"/>
      <x:name val="Arial"/>
    </x:font>
    <x:font>
      <x:sz val="16"/>
      <x:name val="Arial"/>
    </x:font>
    <x:font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74B47"/>
      </x:patternFill>
    </x:fill>
    <x:fill>
      <x:patternFill patternType="solid">
        <x:fgColor rgb="FFFFF2C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200" fontId="2" fillId="3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  <x:xf numFmtId="0" fontId="2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200" fontId="2" fillId="3" borderId="0" xfId="0" applyNumberFormat="1" applyFont="1" applyFill="1" applyBorder="1" applyAlignment="1">
      <x:alignment horizontal="righ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48858a41754884" /><Relationship Type="http://schemas.openxmlformats.org/officeDocument/2006/relationships/theme" Target="/xl/theme/theme1.xml" Id="Rf473e2c1a2db499c" /><Relationship Type="http://schemas.openxmlformats.org/officeDocument/2006/relationships/sharedStrings" Target="/xl/sharedStrings.xml" Id="R2c9bcd8f118c40d4" /><Relationship Type="http://schemas.openxmlformats.org/officeDocument/2006/relationships/worksheet" Target="/xl/worksheets/sheet1.xml" Id="Rb4e84453481544f0" /></Relationships>
</file>

<file path=xl/tables/table1.xml><?xml version="1.0" encoding="utf-8"?>
<x:table xmlns:x="http://schemas.openxmlformats.org/spreadsheetml/2006/main" id="1" name="CourseVideoReview" displayName="CourseVideoReview" ref="A7:N51" headerRowCount="1" totalsRowCount="0" totalsRowShown="0">
  <x:tableColumns count="14">
    <x:tableColumn id="1" name="Unit ID"/>
    <x:tableColumn id="2" name="Unit"/>
    <x:tableColumn id="3" name="Decision"/>
    <x:tableColumn id="4" name="Chosen URL"/>
    <x:tableColumn id="5" name="Chosen title"/>
    <x:tableColumn id="6" name="Chosen channel"/>
    <x:tableColumn id="7" name="Start seconds"/>
    <x:tableColumn id="8" name="End seconds"/>
    <x:tableColumn id="9" name="Import status"/>
    <x:tableColumn id="10" name="Suggested URL"/>
    <x:tableColumn id="11" name="Suggested title"/>
    <x:tableColumn id="12" name="Suggested channel"/>
    <x:tableColumn id="13" name="Coverage and review notes"/>
    <x:tableColumn id="14" name="Reviewer 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bc543b7bdb6433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5" hidden="0" customWidth="1"/>
    <x:col min="3" max="3" width="15" hidden="0" customWidth="1"/>
    <x:col min="4" max="4" width="43" hidden="0" customWidth="1"/>
    <x:col min="5" max="5" width="39" hidden="0" customWidth="1"/>
    <x:col min="6" max="6" width="29" hidden="0" customWidth="1"/>
    <x:col min="7" max="7" width="13" hidden="0" customWidth="1"/>
    <x:col min="8" max="8" width="13" hidden="0" customWidth="1"/>
    <x:col min="9" max="9" width="23" hidden="0" customWidth="1"/>
    <x:col min="10" max="10" width="43" hidden="0" customWidth="1"/>
    <x:col min="11" max="11" width="58" hidden="0" customWidth="1"/>
    <x:col min="12" max="12" width="29" hidden="0" customWidth="1"/>
    <x:col min="13" max="13" width="75" hidden="0" customWidth="1"/>
    <x:col min="14" max="14" width="40" hidden="0" customWidth="1"/>
  </x:cols>
  <x:sheetData>
    <x:row r="2" hidden="0">
      <x:c r="A2" s="1" t="str">
        <x:v>Sanskrit course video review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23" hidden="0" customHeight="1">
      <x:c r="A3" s="2" t="str">
        <x:v>Amber cells are editable. Watch each video, edit Chosen fields if needed, then set Decision to Approved. Other decisions are excluded.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23" hidden="0" customHeight="1">
      <x:c r="A4" s="2" t="str">
        <x:v>Times are optional whole seconds. Leave both blank to play the full video. Export this sheet as XLSX or CSV for import.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23" hidden="0" customHeight="1">
      <x:c r="A5" s="2" t="str">
        <x:v>20 Oct 2026: all 40 distinct links return YouTube publisher metadata. Viewing, captions, teaching language and app playback await review.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 hidden="0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</x:row>
    <x:row r="7" ht="32" hidden="0" customHeight="1">
      <x:c r="A7" s="3" t="str">
        <x:v>Unit ID</x:v>
      </x:c>
      <x:c r="B7" s="3" t="str">
        <x:v>Unit</x:v>
      </x:c>
      <x:c r="C7" s="3" t="str">
        <x:v>Decision</x:v>
      </x:c>
      <x:c r="D7" s="3" t="str">
        <x:v>Chosen URL</x:v>
      </x:c>
      <x:c r="E7" s="3" t="str">
        <x:v>Chosen title</x:v>
      </x:c>
      <x:c r="F7" s="3" t="str">
        <x:v>Chosen channel</x:v>
      </x:c>
      <x:c r="G7" s="12" t="str">
        <x:v>Start seconds</x:v>
      </x:c>
      <x:c r="H7" s="12" t="str">
        <x:v>End seconds</x:v>
      </x:c>
      <x:c r="I7" s="3" t="str">
        <x:v>Import status</x:v>
      </x:c>
      <x:c r="J7" s="3" t="str">
        <x:v>Suggested URL</x:v>
      </x:c>
      <x:c r="K7" s="3" t="str">
        <x:v>Suggested title</x:v>
      </x:c>
      <x:c r="L7" s="3" t="str">
        <x:v>Suggested channel</x:v>
      </x:c>
      <x:c r="M7" s="3" t="str">
        <x:v>Coverage and review notes</x:v>
      </x:c>
      <x:c r="N7" s="3" t="str">
        <x:v>Reviewer notes</x:v>
      </x:c>
    </x:row>
    <x:row r="8" ht="95" hidden="0" customHeight="1">
      <x:c r="A8" s="4" t="str">
        <x:v>vowels</x:v>
      </x:c>
      <x:c r="B8" s="4" t="str">
        <x:v>Vowels</x:v>
      </x:c>
      <x:c r="C8" s="5" t="str">
        <x:v>Pending</x:v>
      </x:c>
      <x:c r="D8" s="5" t="str">
        <x:v>https://www.youtube.com/watch?v=UfNXkiaGX9I</x:v>
      </x:c>
      <x:c r="E8" s="5" t="str">
        <x:v>Learning the Sanskrit Vowels</x:v>
      </x:c>
      <x:c r="F8" s="5" t="str">
        <x:v>Swami Atma</x:v>
      </x:c>
      <x:c r="G8" s="13"/>
      <x:c r="H8" s="13"/>
      <x:c r="I8" s="4" t="str">
        <x:f>IF(C8="Approved",IF(AND(D8&lt;&gt;"",E8&lt;&gt;"",F8&lt;&gt;""),"Ready for validation","Complete chosen fields"),IF(C8="Reject","Excluded","Needs review"))</x:f>
        <x:v>Needs review</x:v>
      </x:c>
      <x:c r="J8" s="4" t="str">
        <x:v>https://www.youtube.com/watch?v=UfNXkiaGX9I</x:v>
      </x:c>
      <x:c r="K8" s="4" t="str">
        <x:v>Learning the Sanskrit Vowels</x:v>
      </x:c>
      <x:c r="L8" s="4" t="str">
        <x:v>Swami Atma</x:v>
      </x:c>
      <x:c r="M8" s="4" t="str">
        <x:v>Repeat-after-me vowel pronunciation. Check ऋ and ऌ pronunciation against the course. Alternative: https://www.youtube.com/watch?v=5I6tj35JTtU (Tattvam; detailed vowel lengths)</x:v>
      </x:c>
      <x:c r="N8" s="5" t="str"/>
    </x:row>
    <x:row r="9" ht="95" hidden="0" customHeight="1">
      <x:c r="A9" s="4" t="str">
        <x:v>consonants</x:v>
      </x:c>
      <x:c r="B9" s="4" t="str">
        <x:v>Consonants</x:v>
      </x:c>
      <x:c r="C9" s="5" t="str">
        <x:v>Pending</x:v>
      </x:c>
      <x:c r="D9" s="5" t="str">
        <x:v>https://www.youtube.com/watch?v=OAFO1yRzlTU</x:v>
      </x:c>
      <x:c r="E9" s="5" t="str">
        <x:v>Learning Sanskrit Part 2: Gutturals</x:v>
      </x:c>
      <x:c r="F9" s="5" t="str">
        <x:v>Academy of Indian Philosophy</x:v>
      </x:c>
      <x:c r="G9" s="13"/>
      <x:c r="H9" s="13"/>
      <x:c r="I9" s="4" t="str">
        <x:f>IF(C9="Approved",IF(AND(D9&lt;&gt;"",E9&lt;&gt;"",F9&lt;&gt;""),"Ready for validation","Complete chosen fields"),IF(C9="Reject","Excluded","Needs review"))</x:f>
        <x:v>Needs review</x:v>
      </x:c>
      <x:c r="J9" s="4" t="str">
        <x:v>https://www.youtube.com/watch?v=OAFO1yRzlTU</x:v>
      </x:c>
      <x:c r="K9" s="4" t="str">
        <x:v>Learning Sanskrit Part 2 || Consonants (First Class-Gutturals)</x:v>
      </x:c>
      <x:c r="L9" s="4" t="str">
        <x:v>Academy of Indian Philosophy</x:v>
      </x:c>
      <x:c r="M9" s="4" t="str">
        <x:v>Clear focus on the first mouth position. Partial coverage: other four rows need another clip. Alternative: https://www.youtube.com/watch?v=OXdeSOFisrE (Academy of Indian Philosophy; hard/soft contrast)</x:v>
      </x:c>
      <x:c r="N9" s="5" t="str"/>
    </x:row>
    <x:row r="10" ht="95" hidden="0" customHeight="1">
      <x:c r="A10" s="4" t="str">
        <x:v>joined-letters</x:v>
      </x:c>
      <x:c r="B10" s="4" t="str">
        <x:v>Joined letters</x:v>
      </x:c>
      <x:c r="C10" s="5" t="str">
        <x:v>Pending</x:v>
      </x:c>
      <x:c r="D10" s="5" t="str">
        <x:v>https://www.youtube.com/watch?v=s12IC3kxltk</x:v>
      </x:c>
      <x:c r="E10" s="5" t="str">
        <x:v>Conjunct consonants</x:v>
      </x:c>
      <x:c r="F10" s="5" t="str">
        <x:v>Devabharati</x:v>
      </x:c>
      <x:c r="G10" s="13"/>
      <x:c r="H10" s="13"/>
      <x:c r="I10" s="4" t="str">
        <x:f>IF(C10="Approved",IF(AND(D10&lt;&gt;"",E10&lt;&gt;"",F10&lt;&gt;""),"Ready for validation","Complete chosen fields"),IF(C10="Reject","Excluded","Needs review"))</x:f>
        <x:v>Needs review</x:v>
      </x:c>
      <x:c r="J10" s="4" t="str">
        <x:v>https://www.youtube.com/watch?v=s12IC3kxltk</x:v>
      </x:c>
      <x:c r="K10" s="4" t="str">
        <x:v>संयुक्ताक्षराणि I Conjunct Consonants I DEVABHARATI</x:v>
      </x:c>
      <x:c r="L10" s="4" t="str">
        <x:v>Devabharati</x:v>
      </x:c>
      <x:c r="M10" s="4" t="str">
        <x:v>Direct match for reading conjuncts. Check coverage of र, anusvāra and visarga.</x:v>
      </x:c>
      <x:c r="N10" s="5" t="str"/>
    </x:row>
    <x:row r="11" ht="95" hidden="0" customHeight="1">
      <x:c r="A11" s="4" t="str">
        <x:v>reading</x:v>
      </x:c>
      <x:c r="B11" s="4" t="str">
        <x:v>Reading words</x:v>
      </x:c>
      <x:c r="C11" s="5" t="str">
        <x:v>Pending</x:v>
      </x:c>
      <x:c r="D11" s="5" t="str">
        <x:v>https://www.youtube.com/watch?v=InXksosbHTE</x:v>
      </x:c>
      <x:c r="E11" s="5" t="str">
        <x:v>Sanskrit Reading Tutor Part 1</x:v>
      </x:c>
      <x:c r="F11" s="5" t="str">
        <x:v>Enjoy Learning Sanskrit</x:v>
      </x:c>
      <x:c r="G11" s="13"/>
      <x:c r="H11" s="13"/>
      <x:c r="I11" s="4" t="str">
        <x:f>IF(C11="Approved",IF(AND(D11&lt;&gt;"",E11&lt;&gt;"",F11&lt;&gt;""),"Ready for validation","Complete chosen fields"),IF(C11="Reject","Excluded","Needs review"))</x:f>
        <x:v>Needs review</x:v>
      </x:c>
      <x:c r="J11" s="4" t="str">
        <x:v>https://www.youtube.com/watch?v=InXksosbHTE</x:v>
      </x:c>
      <x:c r="K11" s="4" t="str">
        <x:v>Sanskrit Reading Tutor  Part 1 How to use this free application to teach yourself to read Sanskrit</x:v>
      </x:c>
      <x:c r="L11" s="4" t="str">
        <x:v>Enjoy Learning Sanskrit</x:v>
      </x:c>
      <x:c r="M11" s="4" t="str">
        <x:v>Syllable-by-syllable reading demonstration. Includes another tool's interface; consider replacing with a direct reading lesson.</x:v>
      </x:c>
      <x:c r="N11" s="5" t="str"/>
    </x:row>
    <x:row r="12" ht="95" hidden="0" customHeight="1">
      <x:c r="A12" s="4" t="str">
        <x:v>who-does</x:v>
      </x:c>
      <x:c r="B12" s="4" t="str">
        <x:v>Who does what</x:v>
      </x:c>
      <x:c r="C12" s="5" t="str">
        <x:v>Pending</x:v>
      </x:c>
      <x:c r="D12" s="5" t="str">
        <x:v>https://www.youtube.com/watch?v=zx1cnmXvUkI</x:v>
      </x:c>
      <x:c r="E12" s="5" t="str">
        <x:v>Lesson 11: Pronouns and present tense</x:v>
      </x:c>
      <x:c r="F12" s="5" t="str">
        <x:v>Knowledgology</x:v>
      </x:c>
      <x:c r="G12" s="13"/>
      <x:c r="H12" s="13"/>
      <x:c r="I12" s="4" t="str">
        <x:f>IF(C12="Approved",IF(AND(D12&lt;&gt;"",E12&lt;&gt;"",F12&lt;&gt;""),"Ready for validation","Complete chosen fields"),IF(C12="Reject","Excluded","Needs review"))</x:f>
        <x:v>Needs review</x:v>
      </x:c>
      <x:c r="J12" s="4" t="str">
        <x:v>https://www.youtube.com/watch?v=zx1cnmXvUkI</x:v>
      </x:c>
      <x:c r="K12" s="4" t="str">
        <x:v>संस्कृतम् - पाठ 11, सर्वनाम, लट् लकार. Learn Sanskrit: Pronouns &amp; the Present Tense</x:v>
      </x:c>
      <x:c r="L12" s="4" t="str">
        <x:v>Knowledgology</x:v>
      </x:c>
      <x:c r="M12" s="4" t="str">
        <x:v>Sentence building and present-tense forms. Check suitability before the learner knows all pronouns.</x:v>
      </x:c>
      <x:c r="N12" s="5" t="str"/>
    </x:row>
    <x:row r="13" ht="95" hidden="0" customHeight="1">
      <x:c r="A13" s="4" t="str">
        <x:v>one-two-many</x:v>
      </x:c>
      <x:c r="B13" s="4" t="str">
        <x:v>One, two, many</x:v>
      </x:c>
      <x:c r="C13" s="5" t="str">
        <x:v>Pending</x:v>
      </x:c>
      <x:c r="D13" s="5" t="str">
        <x:v>https://www.youtube.com/watch?v=BcEqUZFxbmk</x:v>
      </x:c>
      <x:c r="E13" s="5" t="str">
        <x:v>Lesson 13: Singular, dual and plural</x:v>
      </x:c>
      <x:c r="F13" s="5" t="str">
        <x:v>Sriram School of Sanskrit</x:v>
      </x:c>
      <x:c r="G13" s="13"/>
      <x:c r="H13" s="13"/>
      <x:c r="I13" s="4" t="str">
        <x:f>IF(C13="Approved",IF(AND(D13&lt;&gt;"",E13&lt;&gt;"",F13&lt;&gt;""),"Ready for validation","Complete chosen fields"),IF(C13="Reject","Excluded","Needs review"))</x:f>
        <x:v>Needs review</x:v>
      </x:c>
      <x:c r="J13" s="4" t="str">
        <x:v>https://www.youtube.com/watch?v=BcEqUZFxbmk</x:v>
      </x:c>
      <x:c r="K13" s="4" t="str">
        <x:v>Sanskrit Lesson 13 एकवचनम् द्विवचनम् बहुवचनम् Singular Dual Plural Sanskrit Grammar Lesson 09 वचन</x:v>
      </x:c>
      <x:c r="L13" s="4" t="str">
        <x:v>Sriram School of Sanskrit</x:v>
      </x:c>
      <x:c r="M13" s="4" t="str">
        <x:v>Direct match for all three numbers. Confirm teaching language; description includes Tamil.</x:v>
      </x:c>
      <x:c r="N13" s="5" t="str"/>
    </x:row>
    <x:row r="14" ht="95" hidden="0" customHeight="1">
      <x:c r="A14" s="4" t="str">
        <x:v>he-she-it</x:v>
      </x:c>
      <x:c r="B14" s="4" t="str">
        <x:v>He, she, it</x:v>
      </x:c>
      <x:c r="C14" s="5" t="str">
        <x:v>Pending</x:v>
      </x:c>
      <x:c r="D14" s="5" t="str">
        <x:v>https://www.youtube.com/watch?v=5tiyoZdBBQ4</x:v>
      </x:c>
      <x:c r="E14" s="5" t="str">
        <x:v>Pravesha Day 2A: सः, सा, तत्</x:v>
      </x:c>
      <x:c r="F14" s="5" t="str">
        <x:v>Sanskrit.Today</x:v>
      </x:c>
      <x:c r="G14" s="13"/>
      <x:c r="H14" s="13"/>
      <x:c r="I14" s="4" t="str">
        <x:f>IF(C14="Approved",IF(AND(D14&lt;&gt;"",E14&lt;&gt;"",F14&lt;&gt;""),"Ready for validation","Complete chosen fields"),IF(C14="Reject","Excluded","Needs review"))</x:f>
        <x:v>Needs review</x:v>
      </x:c>
      <x:c r="J14" s="4" t="str">
        <x:v>https://www.youtube.com/watch?v=5tiyoZdBBQ4</x:v>
      </x:c>
      <x:c r="K14" s="4" t="str">
        <x:v>Pravesha Course - Day 2 (Part A) - सः, सा, तत् (Pronouns for non-living things)</x:v>
      </x:c>
      <x:c r="L14" s="4" t="str">
        <x:v>Sanskrit.Today</x:v>
      </x:c>
      <x:c r="M14" s="4" t="str">
        <x:v>Direct pronoun and gender practice; inspect agreement examples. Alternative: https://www.youtube.com/watch?v=aWWsa9VFh80 (NAVI EDUCATION; demonstratives by gender)</x:v>
      </x:c>
      <x:c r="N14" s="5" t="str"/>
    </x:row>
    <x:row r="15" ht="95" hidden="0" customHeight="1">
      <x:c r="A15" s="4" t="str">
        <x:v>i-and-you</x:v>
      </x:c>
      <x:c r="B15" s="4" t="str">
        <x:v>I and you</x:v>
      </x:c>
      <x:c r="C15" s="5" t="str">
        <x:v>Pending</x:v>
      </x:c>
      <x:c r="D15" s="5" t="str">
        <x:v>https://www.youtube.com/watch?v=zx1cnmXvUkI</x:v>
      </x:c>
      <x:c r="E15" s="5" t="str">
        <x:v>Lesson 11: Pronouns and present tense</x:v>
      </x:c>
      <x:c r="F15" s="5" t="str">
        <x:v>Knowledgology</x:v>
      </x:c>
      <x:c r="G15" s="13"/>
      <x:c r="H15" s="13"/>
      <x:c r="I15" s="4" t="str">
        <x:f>IF(C15="Approved",IF(AND(D15&lt;&gt;"",E15&lt;&gt;"",F15&lt;&gt;""),"Ready for validation","Complete chosen fields"),IF(C15="Reject","Excluded","Needs review"))</x:f>
        <x:v>Needs review</x:v>
      </x:c>
      <x:c r="J15" s="4" t="str">
        <x:v>https://www.youtube.com/watch?v=zx1cnmXvUkI</x:v>
      </x:c>
      <x:c r="K15" s="4" t="str">
        <x:v>संस्कृतम् - पाठ 11, सर्वनाम, लट् लकार. Learn Sanskrit: Pronouns &amp; the Present Tense</x:v>
      </x:c>
      <x:c r="L15" s="4" t="str">
        <x:v>Knowledgology</x:v>
      </x:c>
      <x:c r="M15" s="4" t="str">
        <x:v>Shared with Who does what. Choose the अहम् / त्वम् portion and check अस्मि coverage.</x:v>
      </x:c>
      <x:c r="N15" s="5" t="str"/>
    </x:row>
    <x:row r="16" ht="95" hidden="0" customHeight="1">
      <x:c r="A16" s="4" t="str">
        <x:v>object</x:v>
      </x:c>
      <x:c r="B16" s="4" t="str">
        <x:v>The object</x:v>
      </x:c>
      <x:c r="C16" s="5" t="str">
        <x:v>Pending</x:v>
      </x:c>
      <x:c r="D16" s="5" t="str">
        <x:v>https://www.youtube.com/watch?v=7BMR8CllQxg</x:v>
      </x:c>
      <x:c r="E16" s="5" t="str">
        <x:v>Understanding Dviteeya Vibhakti</x:v>
      </x:c>
      <x:c r="F16" s="5" t="str">
        <x:v>SANSKRIT ONLINE  </x:v>
      </x:c>
      <x:c r="G16" s="13"/>
      <x:c r="H16" s="13"/>
      <x:c r="I16" s="4" t="str">
        <x:f>IF(C16="Approved",IF(AND(D16&lt;&gt;"",E16&lt;&gt;"",F16&lt;&gt;""),"Ready for validation","Complete chosen fields"),IF(C16="Reject","Excluded","Needs review"))</x:f>
        <x:v>Needs review</x:v>
      </x:c>
      <x:c r="J16" s="4" t="str">
        <x:v>https://www.youtube.com/watch?v=7BMR8CllQxg</x:v>
      </x:c>
      <x:c r="K16" s="4" t="str">
        <x:v>Master Sanskrit Grammar: Understanding Dviteeya Vibhakti</x:v>
      </x:c>
      <x:c r="L16" s="4" t="str">
        <x:v>SANSKRIT ONLINE  </x:v>
      </x:c>
      <x:c r="M16" s="4" t="str">
        <x:v>Direct accusative-case candidate. Publisher channel still needs confirmation.</x:v>
      </x:c>
      <x:c r="N16" s="5" t="str"/>
    </x:row>
    <x:row r="17" ht="95" hidden="0" customHeight="1">
      <x:c r="A17" s="4" t="str">
        <x:v>with-by</x:v>
      </x:c>
      <x:c r="B17" s="4" t="str">
        <x:v>With and by</x:v>
      </x:c>
      <x:c r="C17" s="5" t="str">
        <x:v>Pending</x:v>
      </x:c>
      <x:c r="D17" s="5" t="str">
        <x:v>https://www.youtube.com/watch?v=D9EQM1UK2_w</x:v>
      </x:c>
      <x:c r="E17" s="5" t="str">
        <x:v>तृतीया विभक्ति तथा करण कारक</x:v>
      </x:c>
      <x:c r="F17" s="5" t="str">
        <x:v>Learn Sanskrit Channel</x:v>
      </x:c>
      <x:c r="G17" s="13"/>
      <x:c r="H17" s="13"/>
      <x:c r="I17" s="4" t="str">
        <x:f>IF(C17="Approved",IF(AND(D17&lt;&gt;"",E17&lt;&gt;"",F17&lt;&gt;""),"Ready for validation","Complete chosen fields"),IF(C17="Reject","Excluded","Needs review"))</x:f>
        <x:v>Needs review</x:v>
      </x:c>
      <x:c r="J17" s="4" t="str">
        <x:v>https://www.youtube.com/watch?v=D9EQM1UK2_w</x:v>
      </x:c>
      <x:c r="K17" s="4" t="str">
        <x:v>तृतीया विभक्ति तथा करण कारक // Tritiya vibhakti tatha Karan karak // Karan karak in sanskrit</x:v>
      </x:c>
      <x:c r="L17" s="4" t="str">
        <x:v>Learn Sanskrit Channel</x:v>
      </x:c>
      <x:c r="M17" s="4" t="str">
        <x:v>Direct instrumental-case lesson. Check सह construction as well as means/instrument.</x:v>
      </x:c>
      <x:c r="N17" s="5" t="str"/>
    </x:row>
    <x:row r="18" ht="95" hidden="0" customHeight="1">
      <x:c r="A18" s="4" t="str">
        <x:v>for-to</x:v>
      </x:c>
      <x:c r="B18" s="4" t="str">
        <x:v>For and to</x:v>
      </x:c>
      <x:c r="C18" s="5" t="str">
        <x:v>Pending</x:v>
      </x:c>
      <x:c r="D18" s="5" t="str">
        <x:v>https://www.youtube.com/watch?v=mgCK9JB3NhE</x:v>
      </x:c>
      <x:c r="E18" s="5" t="str">
        <x:v>Fourth case and dative case</x:v>
      </x:c>
      <x:c r="F18" s="5" t="str">
        <x:v>Learn Sanskrit Channel</x:v>
      </x:c>
      <x:c r="G18" s="13"/>
      <x:c r="H18" s="13"/>
      <x:c r="I18" s="4" t="str">
        <x:f>IF(C18="Approved",IF(AND(D18&lt;&gt;"",E18&lt;&gt;"",F18&lt;&gt;""),"Ready for validation","Complete chosen fields"),IF(C18="Reject","Excluded","Needs review"))</x:f>
        <x:v>Needs review</x:v>
      </x:c>
      <x:c r="J18" s="4" t="str">
        <x:v>https://www.youtube.com/watch?v=mgCK9JB3NhE</x:v>
      </x:c>
      <x:c r="K18" s="4" t="str">
        <x:v>चतुर्थी विभक्ति तथा संप्रदान कारक // Chaturthi vibhakti tatha Sampradan karak // Sampradan Karak</x:v>
      </x:c>
      <x:c r="L18" s="4" t="str">
        <x:v>Learn Sanskrit Channel</x:v>
      </x:c>
      <x:c r="M18" s="4" t="str">
        <x:v>Direct recipient/for/to lesson. Confirm purpose construction coverage.</x:v>
      </x:c>
      <x:c r="N18" s="5" t="str"/>
    </x:row>
    <x:row r="19" ht="95" hidden="0" customHeight="1">
      <x:c r="A19" s="4" t="str">
        <x:v>from</x:v>
      </x:c>
      <x:c r="B19" s="4" t="str">
        <x:v>From</x:v>
      </x:c>
      <x:c r="C19" s="5" t="str">
        <x:v>Pending</x:v>
      </x:c>
      <x:c r="D19" s="5" t="str">
        <x:v>https://www.youtube.com/watch?v=PbfPcrq8z-A</x:v>
      </x:c>
      <x:c r="E19" s="5" t="str">
        <x:v>Lesson 48: The ablative case</x:v>
      </x:c>
      <x:c r="F19" s="5" t="str">
        <x:v>Knowledgology</x:v>
      </x:c>
      <x:c r="G19" s="13"/>
      <x:c r="H19" s="13"/>
      <x:c r="I19" s="4" t="str">
        <x:f>IF(C19="Approved",IF(AND(D19&lt;&gt;"",E19&lt;&gt;"",F19&lt;&gt;""),"Ready for validation","Complete chosen fields"),IF(C19="Reject","Excluded","Needs review"))</x:f>
        <x:v>Needs review</x:v>
      </x:c>
      <x:c r="J19" s="4" t="str">
        <x:v>https://www.youtube.com/watch?v=PbfPcrq8z-A</x:v>
      </x:c>
      <x:c r="K19" s="4" t="str">
        <x:v>संस्कृतम् – पाठ 48 अपादान कारक Learn Sanskrit: The Ablative Case पंचमी विभक्ति</x:v>
      </x:c>
      <x:c r="L19" s="4" t="str">
        <x:v>Knowledgology</x:v>
      </x:c>
      <x:c r="M19" s="4" t="str">
        <x:v>Ablative plus special constructions and sentence practice.</x:v>
      </x:c>
      <x:c r="N19" s="5" t="str"/>
    </x:row>
    <x:row r="20" ht="95" hidden="0" customHeight="1">
      <x:c r="A20" s="4" t="str">
        <x:v>of</x:v>
      </x:c>
      <x:c r="B20" s="4" t="str">
        <x:v>Of</x:v>
      </x:c>
      <x:c r="C20" s="5" t="str">
        <x:v>Pending</x:v>
      </x:c>
      <x:c r="D20" s="5" t="str">
        <x:v>https://www.youtube.com/watch?v=vrQW7RrGwRY</x:v>
      </x:c>
      <x:c r="E20" s="5" t="str">
        <x:v>Lesson 6: What is Vibhakti</x:v>
      </x:c>
      <x:c r="F20" s="5" t="str">
        <x:v>Sanskrit Sopanam</x:v>
      </x:c>
      <x:c r="G20" s="13"/>
      <x:c r="H20" s="13"/>
      <x:c r="I20" s="4" t="str">
        <x:f>IF(C20="Approved",IF(AND(D20&lt;&gt;"",E20&lt;&gt;"",F20&lt;&gt;""),"Ready for validation","Complete chosen fields"),IF(C20="Reject","Excluded","Needs review"))</x:f>
        <x:v>Needs review</x:v>
      </x:c>
      <x:c r="J20" s="4" t="str">
        <x:v>https://www.youtube.com/watch?v=vrQW7RrGwRY</x:v>
      </x:c>
      <x:c r="K20" s="4" t="str">
        <x:v>Learning Sanskrit | Lesson 6 | What is Vibhakti</x:v>
      </x:c>
      <x:c r="L20" s="4" t="str">
        <x:v>Sanskrit Sopanam</x:v>
      </x:c>
      <x:c r="M20" s="4" t="str">
        <x:v>Broad case overview. Select the genitive portion manually; not a dedicated kinship lesson.</x:v>
      </x:c>
      <x:c r="N20" s="5" t="str"/>
    </x:row>
    <x:row r="21" ht="95" hidden="0" customHeight="1">
      <x:c r="A21" s="4" t="str">
        <x:v>in-at</x:v>
      </x:c>
      <x:c r="B21" s="4" t="str">
        <x:v>In and at</x:v>
      </x:c>
      <x:c r="C21" s="5" t="str">
        <x:v>Pending</x:v>
      </x:c>
      <x:c r="D21" s="5" t="str">
        <x:v>https://www.youtube.com/watch?v=vrQW7RrGwRY</x:v>
      </x:c>
      <x:c r="E21" s="5" t="str">
        <x:v>Lesson 6: What is Vibhakti</x:v>
      </x:c>
      <x:c r="F21" s="5" t="str">
        <x:v>Sanskrit Sopanam</x:v>
      </x:c>
      <x:c r="G21" s="13"/>
      <x:c r="H21" s="13"/>
      <x:c r="I21" s="4" t="str">
        <x:f>IF(C21="Approved",IF(AND(D21&lt;&gt;"",E21&lt;&gt;"",F21&lt;&gt;""),"Ready for validation","Complete chosen fields"),IF(C21="Reject","Excluded","Needs review"))</x:f>
        <x:v>Needs review</x:v>
      </x:c>
      <x:c r="J21" s="4" t="str">
        <x:v>https://www.youtube.com/watch?v=vrQW7RrGwRY</x:v>
      </x:c>
      <x:c r="K21" s="4" t="str">
        <x:v>Learning Sanskrit | Lesson 6 | What is Vibhakti</x:v>
      </x:c>
      <x:c r="L21" s="4" t="str">
        <x:v>Sanskrit Sopanam</x:v>
      </x:c>
      <x:c r="M21" s="4" t="str">
        <x:v>Broad case overview. Select the locative portion manually; check time expressions.</x:v>
      </x:c>
      <x:c r="N21" s="5" t="str"/>
    </x:row>
    <x:row r="22" ht="95" hidden="0" customHeight="1">
      <x:c r="A22" s="4" t="str">
        <x:v>calling</x:v>
      </x:c>
      <x:c r="B22" s="4" t="str">
        <x:v>Calling out</x:v>
      </x:c>
      <x:c r="C22" s="5" t="str">
        <x:v>Pending</x:v>
      </x:c>
      <x:c r="D22" s="5" t="str">
        <x:v>https://www.youtube.com/watch?v=vrQW7RrGwRY</x:v>
      </x:c>
      <x:c r="E22" s="5" t="str">
        <x:v>Lesson 6: What is Vibhakti</x:v>
      </x:c>
      <x:c r="F22" s="5" t="str">
        <x:v>Sanskrit Sopanam</x:v>
      </x:c>
      <x:c r="G22" s="13"/>
      <x:c r="H22" s="13"/>
      <x:c r="I22" s="4" t="str">
        <x:f>IF(C22="Approved",IF(AND(D22&lt;&gt;"",E22&lt;&gt;"",F22&lt;&gt;""),"Ready for validation","Complete chosen fields"),IF(C22="Reject","Excluded","Needs review"))</x:f>
        <x:v>Needs review</x:v>
      </x:c>
      <x:c r="J22" s="4" t="str">
        <x:v>https://www.youtube.com/watch?v=vrQW7RrGwRY</x:v>
      </x:c>
      <x:c r="K22" s="4" t="str">
        <x:v>Learning Sanskrit | Lesson 6 | What is Vibhakti</x:v>
      </x:c>
      <x:c r="L22" s="4" t="str">
        <x:v>Sanskrit Sopanam</x:v>
      </x:c>
      <x:c r="M22" s="4" t="str">
        <x:v>Publisher description lists vocative at 19:10. Verify a complete end boundary before clipping.</x:v>
      </x:c>
      <x:c r="N22" s="5" t="str"/>
    </x:row>
    <x:row r="23" ht="95" hidden="0" customHeight="1">
      <x:c r="A23" s="4" t="str">
        <x:v>noun-families-1</x:v>
      </x:c>
      <x:c r="B23" s="4" t="str">
        <x:v>Noun families I</x:v>
      </x:c>
      <x:c r="C23" s="5" t="str">
        <x:v>Pending</x:v>
      </x:c>
      <x:c r="D23" s="5" t="str">
        <x:v>https://www.youtube.com/watch?v=ZV7qnKi8c9M</x:v>
      </x:c>
      <x:c r="E23" s="5" t="str">
        <x:v>Noun forms: बालक, लता, फल and more</x:v>
      </x:c>
      <x:c r="F23" s="5" t="str">
        <x:v>SCIENTIFIC LANGUAGE - SANSKRIT</x:v>
      </x:c>
      <x:c r="G23" s="13"/>
      <x:c r="H23" s="13"/>
      <x:c r="I23" s="4" t="str">
        <x:f>IF(C23="Approved",IF(AND(D23&lt;&gt;"",E23&lt;&gt;"",F23&lt;&gt;""),"Ready for validation","Complete chosen fields"),IF(C23="Reject","Excluded","Needs review"))</x:f>
        <x:v>Needs review</x:v>
      </x:c>
      <x:c r="J23" s="4" t="str">
        <x:v>https://www.youtube.com/watch?v=ZV7qnKi8c9M</x:v>
      </x:c>
      <x:c r="K23" s="4" t="str">
        <x:v>ShabdaRoop  ।। शब्दरूप संग्रह ।। बालक लता फल  अस्मद् युष्मद् ।। मातृ पितृ ।। नदी मुनि मति भानु शब्द</x:v>
      </x:c>
      <x:c r="L23" s="4" t="str">
        <x:v>SCIENTIFIC LANGUAGE - SANSKRIT</x:v>
      </x:c>
      <x:c r="M23" s="4" t="str">
        <x:v>Contains the basic paradigms together. Broad reference; check explanation versus memorization.</x:v>
      </x:c>
      <x:c r="N23" s="5" t="str"/>
    </x:row>
    <x:row r="24" ht="95" hidden="0" customHeight="1">
      <x:c r="A24" s="4" t="str">
        <x:v>noun-families-2</x:v>
      </x:c>
      <x:c r="B24" s="4" t="str">
        <x:v>Noun families II</x:v>
      </x:c>
      <x:c r="C24" s="5" t="str">
        <x:v>Pending</x:v>
      </x:c>
      <x:c r="D24" s="5" t="str">
        <x:v>https://www.youtube.com/watch?v=ZV7qnKi8c9M</x:v>
      </x:c>
      <x:c r="E24" s="5" t="str">
        <x:v>Noun forms: नदी, मुनि, मति, भानु, पितृ</x:v>
      </x:c>
      <x:c r="F24" s="5" t="str">
        <x:v>SCIENTIFIC LANGUAGE - SANSKRIT</x:v>
      </x:c>
      <x:c r="G24" s="13"/>
      <x:c r="H24" s="13"/>
      <x:c r="I24" s="4" t="str">
        <x:f>IF(C24="Approved",IF(AND(D24&lt;&gt;"",E24&lt;&gt;"",F24&lt;&gt;""),"Ready for validation","Complete chosen fields"),IF(C24="Reject","Excluded","Needs review"))</x:f>
        <x:v>Needs review</x:v>
      </x:c>
      <x:c r="J24" s="4" t="str">
        <x:v>https://www.youtube.com/watch?v=ZV7qnKi8c9M</x:v>
      </x:c>
      <x:c r="K24" s="4" t="str">
        <x:v>ShabdaRoop  ।। शब्दरूप संग्रह ।। बालक लता फल  अस्मद् युष्मद् ।। मातृ पितृ ।। नदी मुनि मति भानु शब्द</x:v>
      </x:c>
      <x:c r="L24" s="4" t="str">
        <x:v>SCIENTIFIC LANGUAGE - SANSKRIT</x:v>
      </x:c>
      <x:c r="M24" s="4" t="str">
        <x:v>Covers several advanced noun families. Shared reference; manually choose a separate useful section. Alternative: https://www.youtube.com/watch?v=rc_8AXFu6sU (Bharti Madam Classes; गुरु only)</x:v>
      </x:c>
      <x:c r="N24" s="5" t="str"/>
    </x:row>
    <x:row r="25" ht="95" hidden="0" customHeight="1">
      <x:c r="A25" s="4" t="str">
        <x:v>pronouns-numbers</x:v>
      </x:c>
      <x:c r="B25" s="4" t="str">
        <x:v>Pronouns and numbers</x:v>
      </x:c>
      <x:c r="C25" s="5" t="str">
        <x:v>Pending</x:v>
      </x:c>
      <x:c r="D25" s="5" t="str">
        <x:v>https://www.youtube.com/watch?v=DtKjCZJsSA0</x:v>
      </x:c>
      <x:c r="E25" s="5" t="str">
        <x:v>सर्वनाम-परिचयः</x:v>
      </x:c>
      <x:c r="F25" s="5" t="str">
        <x:v>Orchids eLearning</x:v>
      </x:c>
      <x:c r="G25" s="13"/>
      <x:c r="H25" s="13"/>
      <x:c r="I25" s="4" t="str">
        <x:f>IF(C25="Approved",IF(AND(D25&lt;&gt;"",E25&lt;&gt;"",F25&lt;&gt;""),"Ready for validation","Complete chosen fields"),IF(C25="Reject","Excluded","Needs review"))</x:f>
        <x:v>Needs review</x:v>
      </x:c>
      <x:c r="J25" s="4" t="str">
        <x:v>https://www.youtube.com/watch?v=DtKjCZJsSA0</x:v>
      </x:c>
      <x:c r="K25" s="4" t="str">
        <x:v>सर्वनाम-परिचय: ( Pronouns in Sanskrit)</x:v>
      </x:c>
      <x:c r="L25" s="4" t="str">
        <x:v>Orchids eLearning</x:v>
      </x:c>
      <x:c r="M25" s="4" t="str">
        <x:v>Pronouns only. Partial coverage: numerals and telling time need a separate resource.</x:v>
      </x:c>
      <x:c r="N25" s="5" t="str"/>
    </x:row>
    <x:row r="26" ht="95" hidden="0" customHeight="1">
      <x:c r="A26" s="4" t="str">
        <x:v>past</x:v>
      </x:c>
      <x:c r="B26" s="4" t="str">
        <x:v>The past</x:v>
      </x:c>
      <x:c r="C26" s="5" t="str">
        <x:v>Pending</x:v>
      </x:c>
      <x:c r="D26" s="5" t="str">
        <x:v>https://www.youtube.com/watch?v=WGhxs9MwcB0</x:v>
      </x:c>
      <x:c r="E26" s="5" t="str">
        <x:v>Lesson 16: Past tense</x:v>
      </x:c>
      <x:c r="F26" s="5" t="str">
        <x:v>Knowledgology</x:v>
      </x:c>
      <x:c r="G26" s="13"/>
      <x:c r="H26" s="13"/>
      <x:c r="I26" s="4" t="str">
        <x:f>IF(C26="Approved",IF(AND(D26&lt;&gt;"",E26&lt;&gt;"",F26&lt;&gt;""),"Ready for validation","Complete chosen fields"),IF(C26="Reject","Excluded","Needs review"))</x:f>
        <x:v>Needs review</x:v>
      </x:c>
      <x:c r="J26" s="4" t="str">
        <x:v>https://www.youtube.com/watch?v=WGhxs9MwcB0</x:v>
      </x:c>
      <x:c r="K26" s="4" t="str">
        <x:v>संस्कृतम् – पाठ 16, लङ् लकार Learn Sanskrit: Past Tense</x:v>
      </x:c>
      <x:c r="L26" s="4" t="str">
        <x:v>Knowledgology</x:v>
      </x:c>
      <x:c r="M26" s="4" t="str">
        <x:v>Direct लङ् match. Check augment and agreement examples.</x:v>
      </x:c>
      <x:c r="N26" s="5" t="str"/>
    </x:row>
    <x:row r="27" ht="95" hidden="0" customHeight="1">
      <x:c r="A27" s="4" t="str">
        <x:v>future</x:v>
      </x:c>
      <x:c r="B27" s="4" t="str">
        <x:v>The future</x:v>
      </x:c>
      <x:c r="C27" s="5" t="str">
        <x:v>Pending</x:v>
      </x:c>
      <x:c r="D27" s="5" t="str">
        <x:v>https://www.youtube.com/watch?v=NzQe2FUbrIc</x:v>
      </x:c>
      <x:c r="E27" s="5" t="str">
        <x:v>Lesson 15: Future tense</x:v>
      </x:c>
      <x:c r="F27" s="5" t="str">
        <x:v>Knowledgology</x:v>
      </x:c>
      <x:c r="G27" s="13"/>
      <x:c r="H27" s="13"/>
      <x:c r="I27" s="4" t="str">
        <x:f>IF(C27="Approved",IF(AND(D27&lt;&gt;"",E27&lt;&gt;"",F27&lt;&gt;""),"Ready for validation","Complete chosen fields"),IF(C27="Reject","Excluded","Needs review"))</x:f>
        <x:v>Needs review</x:v>
      </x:c>
      <x:c r="J27" s="4" t="str">
        <x:v>https://www.youtube.com/watch?v=NzQe2FUbrIc</x:v>
      </x:c>
      <x:c r="K27" s="4" t="str">
        <x:v>संस्कृतम् – पाठ 15, लृट् लकार Learn Sanskrit: Future Tense</x:v>
      </x:c>
      <x:c r="L27" s="4" t="str">
        <x:v>Knowledgology</x:v>
      </x:c>
      <x:c r="M27" s="4" t="str">
        <x:v>Direct लृट् match with sentence practice.</x:v>
      </x:c>
      <x:c r="N27" s="5" t="str"/>
    </x:row>
    <x:row r="28" ht="95" hidden="0" customHeight="1">
      <x:c r="A28" s="4" t="str">
        <x:v>commands</x:v>
      </x:c>
      <x:c r="B28" s="4" t="str">
        <x:v>Commands</x:v>
      </x:c>
      <x:c r="C28" s="5" t="str">
        <x:v>Pending</x:v>
      </x:c>
      <x:c r="D28" s="5" t="str">
        <x:v>https://www.youtube.com/watch?v=oUNhhd9Ayg8</x:v>
      </x:c>
      <x:c r="E28" s="5" t="str">
        <x:v>Lesson 18: Orders and requests</x:v>
      </x:c>
      <x:c r="F28" s="5" t="str">
        <x:v>Knowledgology</x:v>
      </x:c>
      <x:c r="G28" s="13"/>
      <x:c r="H28" s="13"/>
      <x:c r="I28" s="4" t="str">
        <x:f>IF(C28="Approved",IF(AND(D28&lt;&gt;"",E28&lt;&gt;"",F28&lt;&gt;""),"Ready for validation","Complete chosen fields"),IF(C28="Reject","Excluded","Needs review"))</x:f>
        <x:v>Needs review</x:v>
      </x:c>
      <x:c r="J28" s="4" t="str">
        <x:v>https://www.youtube.com/watch?v=oUNhhd9Ayg8</x:v>
      </x:c>
      <x:c r="K28" s="4" t="str">
        <x:v>संस्कृतम् – पाठ 18, लोट् लकार Learn Sanskrit: Orders, Requests</x:v>
      </x:c>
      <x:c r="L28" s="4" t="str">
        <x:v>Knowledgology</x:v>
      </x:c>
      <x:c r="M28" s="4" t="str">
        <x:v>Direct लोट् match. Choose requests as well as commands.</x:v>
      </x:c>
      <x:c r="N28" s="5" t="str"/>
    </x:row>
    <x:row r="29" ht="95" hidden="0" customHeight="1">
      <x:c r="A29" s="4" t="str">
        <x:v>should</x:v>
      </x:c>
      <x:c r="B29" s="4" t="str">
        <x:v>Should and may</x:v>
      </x:c>
      <x:c r="C29" s="5" t="str">
        <x:v>Pending</x:v>
      </x:c>
      <x:c r="D29" s="5" t="str">
        <x:v>https://www.youtube.com/watch?v=P1aGlREXNKc</x:v>
      </x:c>
      <x:c r="E29" s="5" t="str">
        <x:v>Lesson 17: Should</x:v>
      </x:c>
      <x:c r="F29" s="5" t="str">
        <x:v>Knowledgology</x:v>
      </x:c>
      <x:c r="G29" s="13"/>
      <x:c r="H29" s="13"/>
      <x:c r="I29" s="4" t="str">
        <x:f>IF(C29="Approved",IF(AND(D29&lt;&gt;"",E29&lt;&gt;"",F29&lt;&gt;""),"Ready for validation","Complete chosen fields"),IF(C29="Reject","Excluded","Needs review"))</x:f>
        <x:v>Needs review</x:v>
      </x:c>
      <x:c r="J29" s="4" t="str">
        <x:v>https://www.youtube.com/watch?v=P1aGlREXNKc</x:v>
      </x:c>
      <x:c r="K29" s="4" t="str">
        <x:v>संस्कृतम् – पाठ 17, विधिलिङ् लकार Learn Sanskrit: Should</x:v>
      </x:c>
      <x:c r="L29" s="4" t="str">
        <x:v>Knowledgology</x:v>
      </x:c>
      <x:c r="M29" s="4" t="str">
        <x:v>Direct विधिलिङ् match. Verify may/would distinctions.</x:v>
      </x:c>
      <x:c r="N29" s="5" t="str"/>
    </x:row>
    <x:row r="30" ht="95" hidden="0" customHeight="1">
      <x:c r="A30" s="4" t="str">
        <x:v>atmanepada</x:v>
      </x:c>
      <x:c r="B30" s="4" t="str">
        <x:v>Acting for oneself</x:v>
      </x:c>
      <x:c r="C30" s="5" t="str">
        <x:v>Pending</x:v>
      </x:c>
      <x:c r="D30" s="5" t="str">
        <x:v>https://www.youtube.com/watch?v=sX1FHzDGbGE</x:v>
      </x:c>
      <x:c r="E30" s="5" t="str">
        <x:v>आत्मनेपदीया</x:v>
      </x:c>
      <x:c r="F30" s="5" t="str">
        <x:v>Amod Sanskrit</x:v>
      </x:c>
      <x:c r="G30" s="13"/>
      <x:c r="H30" s="13"/>
      <x:c r="I30" s="4" t="str">
        <x:f>IF(C30="Approved",IF(AND(D30&lt;&gt;"",E30&lt;&gt;"",F30&lt;&gt;""),"Ready for validation","Complete chosen fields"),IF(C30="Reject","Excluded","Needs review"))</x:f>
        <x:v>Needs review</x:v>
      </x:c>
      <x:c r="J30" s="4" t="str">
        <x:v>https://www.youtube.com/watch?v=sX1FHzDGbGE</x:v>
      </x:c>
      <x:c r="K30" s="4" t="str">
        <x:v>sanskrit atmanepada(आत्मनेपदीया) , amod sanskrit , standard 8th</x:v>
      </x:c>
      <x:c r="L30" s="4" t="str">
        <x:v>Amod Sanskrit</x:v>
      </x:c>
      <x:c r="M30" s="4" t="str">
        <x:v>Direct आत्मनेपद lesson. Confirm teaching language and both-ending verbs.</x:v>
      </x:c>
      <x:c r="N30" s="5" t="str"/>
    </x:row>
    <x:row r="31" ht="95" hidden="0" customHeight="1">
      <x:c r="A31" s="4" t="str">
        <x:v>verb-classes-1</x:v>
      </x:c>
      <x:c r="B31" s="4" t="str">
        <x:v>Verb classes I</x:v>
      </x:c>
      <x:c r="C31" s="5" t="str">
        <x:v>Pending</x:v>
      </x:c>
      <x:c r="D31" s="5" t="str">
        <x:v>https://www.youtube.com/watch?v=dXFIe-SoGzE</x:v>
      </x:c>
      <x:c r="E31" s="5" t="str">
        <x:v>Sanskrit Songs: Conjugating verbs</x:v>
      </x:c>
      <x:c r="F31" s="5" t="str">
        <x:v>simon chokoisky</x:v>
      </x:c>
      <x:c r="G31" s="13"/>
      <x:c r="H31" s="13"/>
      <x:c r="I31" s="4" t="str">
        <x:f>IF(C31="Approved",IF(AND(D31&lt;&gt;"",E31&lt;&gt;"",F31&lt;&gt;""),"Ready for validation","Complete chosen fields"),IF(C31="Reject","Excluded","Needs review"))</x:f>
        <x:v>Needs review</x:v>
      </x:c>
      <x:c r="J31" s="4" t="str">
        <x:v>https://www.youtube.com/watch?v=dXFIe-SoGzE</x:v>
      </x:c>
      <x:c r="K31" s="4" t="str">
        <x:v>Sanskrit Songs- Conjugating Verbs</x:v>
      </x:c>
      <x:c r="L31" s="4" t="str">
        <x:v>simon chokoisky</x:v>
      </x:c>
      <x:c r="M31" s="4" t="str">
        <x:v>All four target classes: 1, 4, 6, 10. Musical memorization supplement; verify tone fits the app.</x:v>
      </x:c>
      <x:c r="N31" s="5" t="str"/>
    </x:row>
    <x:row r="32" ht="95" hidden="0" customHeight="1">
      <x:c r="A32" s="4" t="str">
        <x:v>verb-classes-2</x:v>
      </x:c>
      <x:c r="B32" s="4" t="str">
        <x:v>Verb classes II</x:v>
      </x:c>
      <x:c r="C32" s="5" t="str">
        <x:v>Pending</x:v>
      </x:c>
      <x:c r="D32" s="5" t="str">
        <x:v>https://www.youtube.com/watch?v=TrOHM9J3lAQ</x:v>
      </x:c>
      <x:c r="E32" s="5" t="str">
        <x:v>Lesson 16: Athematic verbs 1</x:v>
      </x:c>
      <x:c r="F32" s="5" t="str">
        <x:v>Our Sanskrit</x:v>
      </x:c>
      <x:c r="G32" s="13"/>
      <x:c r="H32" s="13"/>
      <x:c r="I32" s="4" t="str">
        <x:f>IF(C32="Approved",IF(AND(D32&lt;&gt;"",E32&lt;&gt;"",F32&lt;&gt;""),"Ready for validation","Complete chosen fields"),IF(C32="Reject","Excluded","Needs review"))</x:f>
        <x:v>Needs review</x:v>
      </x:c>
      <x:c r="J32" s="4" t="str">
        <x:v>https://www.youtube.com/watch?v=TrOHM9J3lAQ</x:v>
      </x:c>
      <x:c r="K32" s="4" t="str">
        <x:v>Lesson 16- Athematic verbs -1</x:v>
      </x:c>
      <x:c r="L32" s="4" t="str">
        <x:v>Our Sanskrit</x:v>
      </x:c>
      <x:c r="M32" s="4" t="str">
        <x:v>Introduction to the other verb system. Partial coverage: classes 3, 5, 7, 8, 9 need follow-on lessons. Alternative: https://www.youtube.com/watch?v=hi3IAER2lnA (Our Sanskrit; classes 7 and 9)</x:v>
      </x:c>
      <x:c r="N32" s="5" t="str"/>
    </x:row>
    <x:row r="33" ht="95" hidden="0" customHeight="1">
      <x:c r="A33" s="4" t="str">
        <x:v>prefixes</x:v>
      </x:c>
      <x:c r="B33" s="4" t="str">
        <x:v>Prefixes</x:v>
      </x:c>
      <x:c r="C33" s="5" t="str">
        <x:v>Pending</x:v>
      </x:c>
      <x:c r="D33" s="5" t="str">
        <x:v>https://www.youtube.com/watch?v=2IZQ5aTvKjU</x:v>
      </x:c>
      <x:c r="E33" s="5" t="str">
        <x:v>Introductory Sanskrit 8.2: Verbal prefixes</x:v>
      </x:c>
      <x:c r="F33" s="5" t="str">
        <x:v>UBC Sanskrit</x:v>
      </x:c>
      <x:c r="G33" s="13"/>
      <x:c r="H33" s="13"/>
      <x:c r="I33" s="4" t="str">
        <x:f>IF(C33="Approved",IF(AND(D33&lt;&gt;"",E33&lt;&gt;"",F33&lt;&gt;""),"Ready for validation","Complete chosen fields"),IF(C33="Reject","Excluded","Needs review"))</x:f>
        <x:v>Needs review</x:v>
      </x:c>
      <x:c r="J33" s="4" t="str">
        <x:v>https://www.youtube.com/watch?v=2IZQ5aTvKjU</x:v>
      </x:c>
      <x:c r="K33" s="4" t="str">
        <x:v>Introductory Sanskrit @ UBC [8.2]: Verbal Prefixes (Upasargas)</x:v>
      </x:c>
      <x:c r="L33" s="4" t="str">
        <x:v>UBC Sanskrit</x:v>
      </x:c>
      <x:c r="M33" s="4" t="str">
        <x:v>Explains how prefixes change verb meaning. Check list of all 22 against the unit.</x:v>
      </x:c>
      <x:c r="N33" s="5" t="str"/>
    </x:row>
    <x:row r="34" ht="95" hidden="0" customHeight="1">
      <x:c r="A34" s="4" t="str">
        <x:v>passive-causative</x:v>
      </x:c>
      <x:c r="B34" s="4" t="str">
        <x:v>Passive and causative</x:v>
      </x:c>
      <x:c r="C34" s="5" t="str">
        <x:v>Pending</x:v>
      </x:c>
      <x:c r="D34" s="5" t="str">
        <x:v>https://www.youtube.com/watch?v=4te_W7n80WY</x:v>
      </x:c>
      <x:c r="E34" s="5" t="str">
        <x:v>Sanskrit Causatives: An Overview</x:v>
      </x:c>
      <x:c r="F34" s="5" t="str">
        <x:v>Study Sanskrit with Antonia Ruppel</x:v>
      </x:c>
      <x:c r="G34" s="13"/>
      <x:c r="H34" s="13"/>
      <x:c r="I34" s="4" t="str">
        <x:f>IF(C34="Approved",IF(AND(D34&lt;&gt;"",E34&lt;&gt;"",F34&lt;&gt;""),"Ready for validation","Complete chosen fields"),IF(C34="Reject","Excluded","Needs review"))</x:f>
        <x:v>Needs review</x:v>
      </x:c>
      <x:c r="J34" s="4" t="str">
        <x:v>https://www.youtube.com/watch?v=4te_W7n80WY</x:v>
      </x:c>
      <x:c r="K34" s="4" t="str">
        <x:v>Sanskrit Causatives: An Overview</x:v>
      </x:c>
      <x:c r="L34" s="4" t="str">
        <x:v>Study Sanskrit with Antonia Ruppel</x:v>
      </x:c>
      <x:c r="M34" s="4" t="str">
        <x:v>Strong topic-specific causative explanation. Partial coverage: passive and desiderative need other clips. Alternative: https://www.youtube.com/watch?v=ekzpYRmR2T8 (Knowledgology; passive voice)</x:v>
      </x:c>
      <x:c r="N34" s="5" t="str"/>
    </x:row>
    <x:row r="35" ht="95" hidden="0" customHeight="1">
      <x:c r="A35" s="4" t="str">
        <x:v>participles</x:v>
      </x:c>
      <x:c r="B35" s="4" t="str">
        <x:v>Words made from verbs</x:v>
      </x:c>
      <x:c r="C35" s="5" t="str">
        <x:v>Pending</x:v>
      </x:c>
      <x:c r="D35" s="5" t="str">
        <x:v>https://www.youtube.com/watch?v=fe7cJokrqQw</x:v>
      </x:c>
      <x:c r="E35" s="5" t="str">
        <x:v>Lesson 31: Gerunds</x:v>
      </x:c>
      <x:c r="F35" s="5" t="str">
        <x:v>Yes Vedanta - Andre Vas</x:v>
      </x:c>
      <x:c r="G35" s="13"/>
      <x:c r="H35" s="13"/>
      <x:c r="I35" s="4" t="str">
        <x:f>IF(C35="Approved",IF(AND(D35&lt;&gt;"",E35&lt;&gt;"",F35&lt;&gt;""),"Ready for validation","Complete chosen fields"),IF(C35="Reject","Excluded","Needs review"))</x:f>
        <x:v>Needs review</x:v>
      </x:c>
      <x:c r="J35" s="4" t="str">
        <x:v>https://www.youtube.com/watch?v=fe7cJokrqQw</x:v>
      </x:c>
      <x:c r="K35" s="4" t="str">
        <x:v>Lesson 31 - Sanskrit for Beginners Course: Gerunds + Semester 1 END</x:v>
      </x:c>
      <x:c r="L35" s="4" t="str">
        <x:v>Yes Vedanta - Andre Vas</x:v>
      </x:c>
      <x:c r="M35" s="4" t="str">
        <x:v>Gerunds and English subtitles. Partial coverage: infinitives, participles and gerundives need more.</x:v>
      </x:c>
      <x:c r="N35" s="5" t="str"/>
    </x:row>
    <x:row r="36" ht="95" hidden="0" customHeight="1">
      <x:c r="A36" s="4" t="str">
        <x:v>story-past</x:v>
      </x:c>
      <x:c r="B36" s="4" t="str">
        <x:v>The story past</x:v>
      </x:c>
      <x:c r="C36" s="5" t="str">
        <x:v>Pending</x:v>
      </x:c>
      <x:c r="D36" s="5" t="str">
        <x:v>https://www.youtube.com/watch?v=xgLuyth9xcU</x:v>
      </x:c>
      <x:c r="E36" s="5" t="str">
        <x:v>Liṭ Lakāra Explained</x:v>
      </x:c>
      <x:c r="F36" s="5" t="str">
        <x:v>Learn The Easy Way Sanskrit</x:v>
      </x:c>
      <x:c r="G36" s="13"/>
      <x:c r="H36" s="13"/>
      <x:c r="I36" s="4" t="str">
        <x:f>IF(C36="Approved",IF(AND(D36&lt;&gt;"",E36&lt;&gt;"",F36&lt;&gt;""),"Ready for validation","Complete chosen fields"),IF(C36="Reject","Excluded","Needs review"))</x:f>
        <x:v>Needs review</x:v>
      </x:c>
      <x:c r="J36" s="4" t="str">
        <x:v>https://www.youtube.com/watch?v=xgLuyth9xcU</x:v>
      </x:c>
      <x:c r="K36" s="4" t="str">
        <x:v>Liṭ Lakāra Explained | Perfect Tense in Saṃskṛta</x:v>
      </x:c>
      <x:c r="L36" s="4" t="str">
        <x:v>Learn The Easy Way Sanskrit</x:v>
      </x:c>
      <x:c r="M36" s="4" t="str">
        <x:v>Direct perfect-tense explanation and paradigms. Check examples match the story's usage.</x:v>
      </x:c>
      <x:c r="N36" s="5" t="str"/>
    </x:row>
    <x:row r="37" ht="95" hidden="0" customHeight="1">
      <x:c r="A37" s="4" t="str">
        <x:v>aorist-rare</x:v>
      </x:c>
      <x:c r="B37" s="4" t="str">
        <x:v>The rare tenses</x:v>
      </x:c>
      <x:c r="C37" s="5" t="str">
        <x:v>Pending</x:v>
      </x:c>
      <x:c r="D37" s="5" t="str">
        <x:v>https://www.youtube.com/watch?v=9UkRHfCSuv8</x:v>
      </x:c>
      <x:c r="E37" s="5" t="str">
        <x:v>Lesson 34: The Aorist</x:v>
      </x:c>
      <x:c r="F37" s="5" t="str">
        <x:v>Our Sanskrit</x:v>
      </x:c>
      <x:c r="G37" s="13"/>
      <x:c r="H37" s="13"/>
      <x:c r="I37" s="4" t="str">
        <x:f>IF(C37="Approved",IF(AND(D37&lt;&gt;"",E37&lt;&gt;"",F37&lt;&gt;""),"Ready for validation","Complete chosen fields"),IF(C37="Reject","Excluded","Needs review"))</x:f>
        <x:v>Needs review</x:v>
      </x:c>
      <x:c r="J37" s="4" t="str">
        <x:v>https://www.youtube.com/watch?v=9UkRHfCSuv8</x:v>
      </x:c>
      <x:c r="K37" s="4" t="str">
        <x:v>Lesson 34 - The Aorist</x:v>
      </x:c>
      <x:c r="L37" s="4" t="str">
        <x:v>Our Sanskrit</x:v>
      </x:c>
      <x:c r="M37" s="4" t="str">
        <x:v>Aorist and benedictive together. Partial coverage: periphrastic future, conditional and Vedic लेट्.</x:v>
      </x:c>
      <x:c r="N37" s="5" t="str"/>
    </x:row>
    <x:row r="38" ht="95" hidden="0" customHeight="1">
      <x:c r="A38" s="4" t="str">
        <x:v>indeclinables</x:v>
      </x:c>
      <x:c r="B38" s="4" t="str">
        <x:v>Small words</x:v>
      </x:c>
      <x:c r="C38" s="5" t="str">
        <x:v>Pending</x:v>
      </x:c>
      <x:c r="D38" s="5" t="str">
        <x:v>https://www.youtube.com/watch?v=vlVm8Kb9hFk</x:v>
      </x:c>
      <x:c r="E38" s="5" t="str">
        <x:v>Lesson 35: Indeclinables</x:v>
      </x:c>
      <x:c r="F38" s="5" t="str">
        <x:v>Our Sanskrit</x:v>
      </x:c>
      <x:c r="G38" s="13"/>
      <x:c r="H38" s="13"/>
      <x:c r="I38" s="4" t="str">
        <x:f>IF(C38="Approved",IF(AND(D38&lt;&gt;"",E38&lt;&gt;"",F38&lt;&gt;""),"Ready for validation","Complete chosen fields"),IF(C38="Reject","Excluded","Needs review"))</x:f>
        <x:v>Needs review</x:v>
      </x:c>
      <x:c r="J38" s="4" t="str">
        <x:v>https://www.youtube.com/watch?v=vlVm8Kb9hFk</x:v>
      </x:c>
      <x:c r="K38" s="4" t="str">
        <x:v>Lesson 35 - Indeclinables</x:v>
      </x:c>
      <x:c r="L38" s="4" t="str">
        <x:v>Our Sanskrit</x:v>
      </x:c>
      <x:c r="M38" s="4" t="str">
        <x:v>Topic-specific अव्यय lesson. Confirm इति and the course's particles are included.</x:v>
      </x:c>
      <x:c r="N38" s="5" t="str"/>
    </x:row>
    <x:row r="39" ht="95" hidden="0" customHeight="1">
      <x:c r="A39" s="4" t="str">
        <x:v>vowel-sandhi</x:v>
      </x:c>
      <x:c r="B39" s="4" t="str">
        <x:v>Vowels that join</x:v>
      </x:c>
      <x:c r="C39" s="5" t="str">
        <x:v>Pending</x:v>
      </x:c>
      <x:c r="D39" s="5" t="str">
        <x:v>https://www.youtube.com/watch?v=oJtQZeQeUpA</x:v>
      </x:c>
      <x:c r="E39" s="5" t="str">
        <x:v>Sanskrit vowel sandhi and splitting</x:v>
      </x:c>
      <x:c r="F39" s="5" t="str">
        <x:v>Kailash sharma</x:v>
      </x:c>
      <x:c r="G39" s="13"/>
      <x:c r="H39" s="13"/>
      <x:c r="I39" s="4" t="str">
        <x:f>IF(C39="Approved",IF(AND(D39&lt;&gt;"",E39&lt;&gt;"",F39&lt;&gt;""),"Ready for validation","Complete chosen fields"),IF(C39="Reject","Excluded","Needs review"))</x:f>
        <x:v>Needs review</x:v>
      </x:c>
      <x:c r="J39" s="4" t="str">
        <x:v>https://www.youtube.com/watch?v=oJtQZeQeUpA</x:v>
      </x:c>
      <x:c r="K39" s="4" t="str">
        <x:v>Sanskrit Swar Sandhi (संस्कृत स्वर सन्धि)</x:v>
      </x:c>
      <x:c r="L39" s="4" t="str">
        <x:v>Kailash sharma</x:v>
      </x:c>
      <x:c r="M39" s="4" t="str">
        <x:v>Publisher lists chapters for long-vowel, guṇa, vṛddhi, yaṇ and ayādi joins. Select a short section manually. Alternative: https://www.youtube.com/watch?v=NrzXAzztjRY (Academy of Indian Philosophy; vṛddhi only)</x:v>
      </x:c>
      <x:c r="N39" s="5" t="str"/>
    </x:row>
    <x:row r="40" ht="95" hidden="0" customHeight="1">
      <x:c r="A40" s="4" t="str">
        <x:v>visarga-sandhi</x:v>
      </x:c>
      <x:c r="B40" s="4" t="str">
        <x:v>The breath that changes</x:v>
      </x:c>
      <x:c r="C40" s="5" t="str">
        <x:v>Pending</x:v>
      </x:c>
      <x:c r="D40" s="5" t="str">
        <x:v>https://www.youtube.com/watch?v=vIe9nhG42e4</x:v>
      </x:c>
      <x:c r="E40" s="5" t="str">
        <x:v>Visarga Sandhi in Sanskrit</x:v>
      </x:c>
      <x:c r="F40" s="5" t="str">
        <x:v>Saral Sanskrit Sugam Sanskrit</x:v>
      </x:c>
      <x:c r="G40" s="13"/>
      <x:c r="H40" s="13"/>
      <x:c r="I40" s="4" t="str">
        <x:f>IF(C40="Approved",IF(AND(D40&lt;&gt;"",E40&lt;&gt;"",F40&lt;&gt;""),"Ready for validation","Complete chosen fields"),IF(C40="Reject","Excluded","Needs review"))</x:f>
        <x:v>Needs review</x:v>
      </x:c>
      <x:c r="J40" s="4" t="str">
        <x:v>https://www.youtube.com/watch?v=vIe9nhG42e4</x:v>
      </x:c>
      <x:c r="K40" s="4" t="str">
        <x:v>Visarga Sandhi in Sanskrit। संस्कृत-विसर्ग संधि।।</x:v>
      </x:c>
      <x:c r="L40" s="4" t="str">
        <x:v>Saral Sanskrit Sugam Sanskrit</x:v>
      </x:c>
      <x:c r="M40" s="4" t="str">
        <x:v>Visarga rules taught through Laghu Siddhanta Kaumudi. Longer grammar lesson; check beginner suitability and choose a short passage.</x:v>
      </x:c>
      <x:c r="N40" s="5" t="str"/>
    </x:row>
    <x:row r="41" ht="95" hidden="0" customHeight="1">
      <x:c r="A41" s="4" t="str">
        <x:v>consonant-sandhi</x:v>
      </x:c>
      <x:c r="B41" s="4" t="str">
        <x:v>Consonants that join</x:v>
      </x:c>
      <x:c r="C41" s="5" t="str">
        <x:v>Pending</x:v>
      </x:c>
      <x:c r="D41" s="5" t="str">
        <x:v>https://www.youtube.com/watch?v=2ccGvupRxnI</x:v>
      </x:c>
      <x:c r="E41" s="5" t="str">
        <x:v>Consonant and visarga sandhi</x:v>
      </x:c>
      <x:c r="F41" s="5" t="str">
        <x:v>Kailash sharma</x:v>
      </x:c>
      <x:c r="G41" s="13"/>
      <x:c r="H41" s="13"/>
      <x:c r="I41" s="4" t="str">
        <x:f>IF(C41="Approved",IF(AND(D41&lt;&gt;"",E41&lt;&gt;"",F41&lt;&gt;""),"Ready for validation","Complete chosen fields"),IF(C41="Reject","Excluded","Needs review"))</x:f>
        <x:v>Needs review</x:v>
      </x:c>
      <x:c r="J41" s="4" t="str">
        <x:v>https://www.youtube.com/watch?v=2ccGvupRxnI</x:v>
      </x:c>
      <x:c r="K41" s="4" t="str">
        <x:v>Class 10 संस्कृत सन्धि 2026 / व्यञ्जन एवं विसर्ग सन्धि 2026</x:v>
      </x:c>
      <x:c r="L41" s="4" t="str">
        <x:v>Kailash sharma</x:v>
      </x:c>
      <x:c r="M41" s="4" t="str">
        <x:v>Worked examples for identifying joins. Select consonant portion; avoid repeating the preceding unit.</x:v>
      </x:c>
      <x:c r="N41" s="5" t="str"/>
    </x:row>
    <x:row r="42" ht="95" hidden="0" customHeight="1">
      <x:c r="A42" s="4" t="str">
        <x:v>splitting</x:v>
      </x:c>
      <x:c r="B42" s="4" t="str">
        <x:v>Splitting the joins</x:v>
      </x:c>
      <x:c r="C42" s="5" t="str">
        <x:v>Pending</x:v>
      </x:c>
      <x:c r="D42" s="5" t="str">
        <x:v>https://www.youtube.com/watch?v=KCqFYM6Ocg4</x:v>
      </x:c>
      <x:c r="E42" s="5" t="str">
        <x:v>Shastra-study Session 64: Padaccheda and anvaya</x:v>
      </x:c>
      <x:c r="F42" s="5" t="str">
        <x:v>Chinfo Channel</x:v>
      </x:c>
      <x:c r="G42" s="13"/>
      <x:c r="H42" s="13"/>
      <x:c r="I42" s="4" t="str">
        <x:f>IF(C42="Approved",IF(AND(D42&lt;&gt;"",E42&lt;&gt;"",F42&lt;&gt;""),"Ready for validation","Complete chosen fields"),IF(C42="Reject","Excluded","Needs review"))</x:f>
        <x:v>Needs review</x:v>
      </x:c>
      <x:c r="J42" s="4" t="str">
        <x:v>https://www.youtube.com/watch?v=KCqFYM6Ocg4</x:v>
      </x:c>
      <x:c r="K42" s="4" t="str">
        <x:v>Sanskrit for Shastra-study by Br. Ved Chaitanya - Session 64 - Padaccheda - Anvaya</x:v>
      </x:c>
      <x:c r="L42" s="4" t="str">
        <x:v>Chinfo Channel</x:v>
      </x:c>
      <x:c r="M42" s="4" t="str">
        <x:v>Direct word-splitting and prose-order work. Longer session; select a complete example.</x:v>
      </x:c>
      <x:c r="N42" s="5" t="str"/>
    </x:row>
    <x:row r="43" ht="95" hidden="0" customHeight="1">
      <x:c r="A43" s="4" t="str">
        <x:v>compounds-1</x:v>
      </x:c>
      <x:c r="B43" s="4" t="str">
        <x:v>Compounds I</x:v>
      </x:c>
      <x:c r="C43" s="5" t="str">
        <x:v>Pending</x:v>
      </x:c>
      <x:c r="D43" s="5" t="str">
        <x:v>https://www.youtube.com/watch?v=k8Hw8YkyvDs</x:v>
      </x:c>
      <x:c r="E43" s="5" t="str">
        <x:v>Samaasa 03: Prathama and Dvitiya Tatpurusha</x:v>
      </x:c>
      <x:c r="F43" s="5" t="str">
        <x:v>Learn Sanskrit Online : vyoma-samskrta-pathasala</x:v>
      </x:c>
      <x:c r="G43" s="13"/>
      <x:c r="H43" s="13"/>
      <x:c r="I43" s="4" t="str">
        <x:f>IF(C43="Approved",IF(AND(D43&lt;&gt;"",E43&lt;&gt;"",F43&lt;&gt;""),"Ready for validation","Complete chosen fields"),IF(C43="Reject","Excluded","Needs review"))</x:f>
        <x:v>Needs review</x:v>
      </x:c>
      <x:c r="J43" s="4" t="str">
        <x:v>https://www.youtube.com/watch?v=k8Hw8YkyvDs</x:v>
      </x:c>
      <x:c r="K43" s="4" t="str">
        <x:v>Samaasa 03 |  Prathama Tatpurusha, Dvitiya Tatpurusha | Dr. Sowmya Krishnapur</x:v>
      </x:c>
      <x:c r="L43" s="4" t="str">
        <x:v>Learn Sanskrit Online : vyoma-samskrta-pathasala</x:v>
      </x:c>
      <x:c r="M43" s="4" t="str">
        <x:v>Direct compound analysis in simple Sanskrit. Partial coverage: dvandva, karmadhāraya and dvigu.</x:v>
      </x:c>
      <x:c r="N43" s="5" t="str"/>
    </x:row>
    <x:row r="44" ht="95" hidden="0" customHeight="1">
      <x:c r="A44" s="4" t="str">
        <x:v>compounds-2</x:v>
      </x:c>
      <x:c r="B44" s="4" t="str">
        <x:v>Compounds II</x:v>
      </x:c>
      <x:c r="C44" s="5" t="str">
        <x:v>Pending</x:v>
      </x:c>
      <x:c r="D44" s="5" t="str">
        <x:v>https://www.youtube.com/watch?v=rGDcDLoXZMo</x:v>
      </x:c>
      <x:c r="E44" s="5" t="str">
        <x:v>Samaasa 14: Avyayibhava</x:v>
      </x:c>
      <x:c r="F44" s="5" t="str">
        <x:v>Learn Sanskrit Online : vyoma-samskrta-pathasala</x:v>
      </x:c>
      <x:c r="G44" s="13"/>
      <x:c r="H44" s="13"/>
      <x:c r="I44" s="4" t="str">
        <x:f>IF(C44="Approved",IF(AND(D44&lt;&gt;"",E44&lt;&gt;"",F44&lt;&gt;""),"Ready for validation","Complete chosen fields"),IF(C44="Reject","Excluded","Needs review"))</x:f>
        <x:v>Needs review</x:v>
      </x:c>
      <x:c r="J44" s="4" t="str">
        <x:v>https://www.youtube.com/watch?v=rGDcDLoXZMo</x:v>
      </x:c>
      <x:c r="K44" s="4" t="str">
        <x:v>Samaasa14 |   Avyayibhava Samasa | Dr. Sowmya Krishnapur</x:v>
      </x:c>
      <x:c r="L44" s="4" t="str">
        <x:v>Learn Sanskrit Online : vyoma-samskrta-pathasala</x:v>
      </x:c>
      <x:c r="M44" s="4" t="str">
        <x:v>Compound adverbs and examples. Partial coverage: bahuvrīhi and long compounds.</x:v>
      </x:c>
      <x:c r="N44" s="5" t="str"/>
    </x:row>
    <x:row r="45" ht="95" hidden="0" customHeight="1">
      <x:c r="A45" s="4" t="str">
        <x:v>taddhita</x:v>
      </x:c>
      <x:c r="B45" s="4" t="str">
        <x:v>Word-making suffixes</x:v>
      </x:c>
      <x:c r="C45" s="5" t="str">
        <x:v>Pending</x:v>
      </x:c>
      <x:c r="D45" s="5" t="str">
        <x:v>https://www.youtube.com/watch?v=7tfLM9T4PEI</x:v>
      </x:c>
      <x:c r="E45" s="5" t="str">
        <x:v>Special lecture on Taddhitantas</x:v>
      </x:c>
      <x:c r="F45" s="5" t="str">
        <x:v>Learn Sanskrit Online : vyoma-samskrta-pathasala</x:v>
      </x:c>
      <x:c r="G45" s="13"/>
      <x:c r="H45" s="13"/>
      <x:c r="I45" s="4" t="str">
        <x:f>IF(C45="Approved",IF(AND(D45&lt;&gt;"",E45&lt;&gt;"",F45&lt;&gt;""),"Ready for validation","Complete chosen fields"),IF(C45="Reject","Excluded","Needs review"))</x:f>
        <x:v>Needs review</x:v>
      </x:c>
      <x:c r="J45" s="4" t="str">
        <x:v>https://www.youtube.com/watch?v=7tfLM9T4PEI</x:v>
      </x:c>
      <x:c r="K45" s="4" t="str">
        <x:v>37 | Special Lecture on Taddhitanta-s by Dr.Sowmya Krishnapur | Sankshepa Ramayanam  Grammatical</x:v>
      </x:c>
      <x:c r="L45" s="4" t="str">
        <x:v>Learn Sanskrit Online : vyoma-samskrta-pathasala</x:v>
      </x:c>
      <x:c r="M45" s="4" t="str">
        <x:v>Word-forming suffixes with examples. Choose a short passage matching the unit's suffixes.</x:v>
      </x:c>
      <x:c r="N45" s="5" t="str"/>
    </x:row>
    <x:row r="46" ht="95" hidden="0" customHeight="1">
      <x:c r="A46" s="4" t="str">
        <x:v>syntax</x:v>
      </x:c>
      <x:c r="B46" s="4" t="str">
        <x:v>Longer sentences</x:v>
      </x:c>
      <x:c r="C46" s="5" t="str">
        <x:v>Pending</x:v>
      </x:c>
      <x:c r="D46" s="5" t="str">
        <x:v>https://www.youtube.com/watch?v=1Pi30HIKQUo</x:v>
      </x:c>
      <x:c r="E46" s="5" t="str">
        <x:v>Introductory Sanskrit 6.4: Relative/correlatives</x:v>
      </x:c>
      <x:c r="F46" s="5" t="str">
        <x:v>UBC Sanskrit</x:v>
      </x:c>
      <x:c r="G46" s="13"/>
      <x:c r="H46" s="13"/>
      <x:c r="I46" s="4" t="str">
        <x:f>IF(C46="Approved",IF(AND(D46&lt;&gt;"",E46&lt;&gt;"",F46&lt;&gt;""),"Ready for validation","Complete chosen fields"),IF(C46="Reject","Excluded","Needs review"))</x:f>
        <x:v>Needs review</x:v>
      </x:c>
      <x:c r="J46" s="4" t="str">
        <x:v>https://www.youtube.com/watch?v=1Pi30HIKQUo</x:v>
      </x:c>
      <x:c r="K46" s="4" t="str">
        <x:v>Introductory Sanskrit @ UBC [6.4]: Sanskrit Syntax - Relative/Correlatives</x:v>
      </x:c>
      <x:c r="L46" s="4" t="str">
        <x:v>UBC Sanskrit</x:v>
      </x:c>
      <x:c r="M46" s="4" t="str">
        <x:v>Direct यः … सः and related sentence patterns. Partial coverage: locative absolute.</x:v>
      </x:c>
      <x:c r="N46" s="5" t="str"/>
    </x:row>
    <x:row r="47" ht="95" hidden="0" customHeight="1">
      <x:c r="A47" s="4" t="str">
        <x:v>metre-1</x:v>
      </x:c>
      <x:c r="B47" s="4" t="str">
        <x:v>Rhythm</x:v>
      </x:c>
      <x:c r="C47" s="5" t="str">
        <x:v>Pending</x:v>
      </x:c>
      <x:c r="D47" s="5" t="str">
        <x:v>https://www.youtube.com/watch?v=5RPQQw9Rmsg</x:v>
      </x:c>
      <x:c r="E47" s="5" t="str">
        <x:v>Anushtubh meter: An introduction</x:v>
      </x:c>
      <x:c r="F47" s="5" t="str">
        <x:v>CL Multimedia</x:v>
      </x:c>
      <x:c r="G47" s="13"/>
      <x:c r="H47" s="13"/>
      <x:c r="I47" s="4" t="str">
        <x:f>IF(C47="Approved",IF(AND(D47&lt;&gt;"",E47&lt;&gt;"",F47&lt;&gt;""),"Ready for validation","Complete chosen fields"),IF(C47="Reject","Excluded","Needs review"))</x:f>
        <x:v>Needs review</x:v>
      </x:c>
      <x:c r="J47" s="4" t="str">
        <x:v>https://www.youtube.com/watch?v=5RPQQw9Rmsg</x:v>
      </x:c>
      <x:c r="K47" s="4" t="str">
        <x:v>Anushtubh Meter - An Introduction अनुष्टुभ् छन्द से परिचय (IAS Mains Sanskrit Literature)</x:v>
      </x:c>
      <x:c r="L47" s="4" t="str">
        <x:v>CL Multimedia</x:v>
      </x:c>
      <x:c r="M47" s="4" t="str">
        <x:v>Matches the śloka topic. Verify publisher, light/heavy rules and beginner suitability.</x:v>
      </x:c>
      <x:c r="N47" s="5" t="str"/>
    </x:row>
    <x:row r="48" ht="95" hidden="0" customHeight="1">
      <x:c r="A48" s="4" t="str">
        <x:v>metre-2</x:v>
      </x:c>
      <x:c r="B48" s="4" t="str">
        <x:v>The great metres</x:v>
      </x:c>
      <x:c r="C48" s="5" t="str">
        <x:v>Pending</x:v>
      </x:c>
      <x:c r="D48" s="5" t="str">
        <x:v>https://www.youtube.com/watch?v=fsSW9EvsOpo</x:v>
      </x:c>
      <x:c r="E48" s="5" t="str">
        <x:v>SanskritMetres 22: Mandakranta</x:v>
      </x:c>
      <x:c r="F48" s="5" t="str">
        <x:v>Shreevatsa R</x:v>
      </x:c>
      <x:c r="G48" s="13"/>
      <x:c r="H48" s="13"/>
      <x:c r="I48" s="4" t="str">
        <x:f>IF(C48="Approved",IF(AND(D48&lt;&gt;"",E48&lt;&gt;"",F48&lt;&gt;""),"Ready for validation","Complete chosen fields"),IF(C48="Reject","Excluded","Needs review"))</x:f>
        <x:v>Needs review</x:v>
      </x:c>
      <x:c r="J48" s="4" t="str">
        <x:v>https://www.youtube.com/watch?v=fsSW9EvsOpo</x:v>
      </x:c>
      <x:c r="K48" s="4" t="str">
        <x:v>SanskritMetres 22 Mandakranta</x:v>
      </x:c>
      <x:c r="L48" s="4" t="str">
        <x:v>Shreevatsa R</x:v>
      </x:c>
      <x:c r="M48" s="4" t="str">
        <x:v>One syllabic metre demonstration. Partial coverage: Āryā and other great metres; alternative Āryā recitation in notes. Alternative: https://www.youtube.com/watch?v=wymrlv1WRnY (Edgar Leitan; Āryā recitation, not a full lesson)</x:v>
      </x:c>
      <x:c r="N48" s="5" t="str"/>
    </x:row>
    <x:row r="49" ht="95" hidden="0" customHeight="1">
      <x:c r="A49" s="4" t="str">
        <x:v>reading-verse</x:v>
      </x:c>
      <x:c r="B49" s="4" t="str">
        <x:v>Reading a verse</x:v>
      </x:c>
      <x:c r="C49" s="5" t="str">
        <x:v>Pending</x:v>
      </x:c>
      <x:c r="D49" s="5" t="str">
        <x:v>https://www.youtube.com/watch?v=Y5u48zzFJHo</x:v>
      </x:c>
      <x:c r="E49" s="5" t="str">
        <x:v>Shastra-study Session 65: Padaccheda and anvaya</x:v>
      </x:c>
      <x:c r="F49" s="5" t="str">
        <x:v>Chinfo Channel</x:v>
      </x:c>
      <x:c r="G49" s="13"/>
      <x:c r="H49" s="13"/>
      <x:c r="I49" s="4" t="str">
        <x:f>IF(C49="Approved",IF(AND(D49&lt;&gt;"",E49&lt;&gt;"",F49&lt;&gt;""),"Ready for validation","Complete chosen fields"),IF(C49="Reject","Excluded","Needs review"))</x:f>
        <x:v>Needs review</x:v>
      </x:c>
      <x:c r="J49" s="4" t="str">
        <x:v>https://www.youtube.com/watch?v=Y5u48zzFJHo</x:v>
      </x:c>
      <x:c r="K49" s="4" t="str">
        <x:v>Sanskrit for Shastra-study by Br. Ved Chaitanya - Session 65 - Padaccheda - Anvaya</x:v>
      </x:c>
      <x:c r="L49" s="4" t="str">
        <x:v>Chinfo Channel</x:v>
      </x:c>
      <x:c r="M49" s="4" t="str">
        <x:v>Direct reading workflow: split and reorder. Verify commentary treatment and select a self-contained example.</x:v>
      </x:c>
      <x:c r="N49" s="5" t="str"/>
    </x:row>
    <x:row r="50" ht="95" hidden="0" customHeight="1">
      <x:c r="A50" s="4" t="str">
        <x:v>reading-kss</x:v>
      </x:c>
      <x:c r="B50" s="4" t="str">
        <x:v>The tale that survived</x:v>
      </x:c>
      <x:c r="C50" s="5" t="str">
        <x:v>Pending</x:v>
      </x:c>
      <x:c r="D50" s="5" t="str">
        <x:v>https://www.youtube.com/watch?v=Og0TzvLbxeE</x:v>
      </x:c>
      <x:c r="E50" s="5" t="str">
        <x:v>Understanding the Kathasaritsagara: Introduction</x:v>
      </x:c>
      <x:c r="F50" s="5" t="str">
        <x:v>Gyro Masala</x:v>
      </x:c>
      <x:c r="G50" s="13"/>
      <x:c r="H50" s="13"/>
      <x:c r="I50" s="4" t="str">
        <x:f>IF(C50="Approved",IF(AND(D50&lt;&gt;"",E50&lt;&gt;"",F50&lt;&gt;""),"Ready for validation","Complete chosen fields"),IF(C50="Reject","Excluded","Needs review"))</x:f>
        <x:v>Needs review</x:v>
      </x:c>
      <x:c r="J50" s="4" t="str">
        <x:v>https://www.youtube.com/watch?v=Og0TzvLbxeE</x:v>
      </x:c>
      <x:c r="K50" s="4" t="str">
        <x:v>Understanding the Kathasaritsagara by Somadeva, introduction</x:v>
      </x:c>
      <x:c r="L50" s="4" t="str">
        <x:v>Gyro Masala</x:v>
      </x:c>
      <x:c r="M50" s="4" t="str">
        <x:v>Context only, based on English translations. No suitable Sanskrit close-reading video verified. Prefer replacement.</x:v>
      </x:c>
      <x:c r="N50" s="5" t="str"/>
    </x:row>
    <x:row r="51" ht="95" hidden="0" customHeight="1">
      <x:c r="A51" s="4" t="str">
        <x:v>panini-gateway</x:v>
      </x:c>
      <x:c r="B51" s="4" t="str">
        <x:v>Pāṇini's grammar</x:v>
      </x:c>
      <x:c r="C51" s="5" t="str">
        <x:v>Pending</x:v>
      </x:c>
      <x:c r="D51" s="5" t="str">
        <x:v>https://www.youtube.com/watch?v=zh-2Zk0ENRA</x:v>
      </x:c>
      <x:c r="E51" s="5" t="str">
        <x:v>Entry into Ashtadhyayi 02: Maheshwara sutras</x:v>
      </x:c>
      <x:c r="F51" s="5" t="str">
        <x:v>Learn Sanskrit Online : vyoma-samskrta-pathasala</x:v>
      </x:c>
      <x:c r="G51" s="13"/>
      <x:c r="H51" s="13"/>
      <x:c r="I51" s="4" t="str">
        <x:f>IF(C51="Approved",IF(AND(D51&lt;&gt;"",E51&lt;&gt;"",F51&lt;&gt;""),"Ready for validation","Complete chosen fields"),IF(C51="Reject","Excluded","Needs review"))</x:f>
        <x:v>Needs review</x:v>
      </x:c>
      <x:c r="J51" s="4" t="str">
        <x:v>https://www.youtube.com/watch?v=zh-2Zk0ENRA</x:v>
      </x:c>
      <x:c r="K51" s="4" t="str">
        <x:v>02|Maheshwara Sutras,...| An Entry into the meanings of Ashtadhyayi Sutras | Vid. Vaishnava Simha</x:v>
      </x:c>
      <x:c r="L51" s="4" t="str">
        <x:v>Learn Sanskrit Online : vyoma-samskrta-pathasala</x:v>
      </x:c>
      <x:c r="M51" s="4" t="str">
        <x:v>Includes Śiva sūtras, pratyāhāras and it markers. Publisher timestamps: 00:54 and 09:57; verify before setting clip. Alternative: https://www.youtube.com/watch?v=PrRAvECRkjY (Akashvani AIR; introduction to Pāṇini)</x:v>
      </x:c>
      <x:c r="N51" s="5" t="str"/>
    </x:row>
  </x:sheetData>
  <x:conditionalFormatting sqref="I8:I51">
    <x:cfRule type="containsText" dxfId="0" priority="1" operator="containsText" text="Complete"/>
  </x:conditionalFormatting>
  <x:dataValidations count="1">
    <x:dataValidation type="list" sqref="C8:C51">
      <x:formula1>"Pending,Approved,Replace,Reject"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bc543b7bdb64334"/>
  </x:tableParts>
</x:worksheet>
</file>