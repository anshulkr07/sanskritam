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c03b0fe7bc4cd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ideo review" sheetId="1" r:id="Rc11af95be25e4b1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name val="Arial"/>
    </x:font>
    <x:font>
      <x:sz val="11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74B47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8">
    <x:xf numFmtId="0" fontId="0" fillId="0" borderId="0" xfId="0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200" fontId="2" fillId="3" borderId="0" xfId="0" applyNumberFormat="1" applyFont="1" applyFill="1" applyBorder="1" applyAlignment="1">
      <x:alignment horizontal="righ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d7d04269c6a41d2" /><Relationship Type="http://schemas.openxmlformats.org/officeDocument/2006/relationships/theme" Target="/xl/theme/theme1.xml" Id="Rcd3eaa3f8f464f09" /><Relationship Type="http://schemas.openxmlformats.org/officeDocument/2006/relationships/sharedStrings" Target="/xl/sharedStrings.xml" Id="Rda7c4a849e994de4" /><Relationship Type="http://schemas.openxmlformats.org/officeDocument/2006/relationships/worksheet" Target="/xl/worksheets/sheet1.xml" Id="Rc11af95be25e4b11" /></Relationships>
</file>

<file path=xl/tables/table1.xml><?xml version="1.0" encoding="utf-8"?>
<x:table xmlns:x="http://schemas.openxmlformats.org/spreadsheetml/2006/main" id="1" name="CourseVideoReview" displayName="CourseVideoReview" ref="A7:N51" headerRowCount="1" totalsRowCount="0" totalsRowShown="0">
  <x:tableColumns count="14">
    <x:tableColumn id="1" name="Unit ID"/>
    <x:tableColumn id="2" name="Unit"/>
    <x:tableColumn id="3" name="Decision"/>
    <x:tableColumn id="4" name="Chosen URL"/>
    <x:tableColumn id="5" name="Chosen title"/>
    <x:tableColumn id="6" name="Chosen channel"/>
    <x:tableColumn id="7" name="Start seconds"/>
    <x:tableColumn id="8" name="End seconds"/>
    <x:tableColumn id="9" name="Import status"/>
    <x:tableColumn id="10" name="Suggested URL"/>
    <x:tableColumn id="11" name="Suggested title"/>
    <x:tableColumn id="12" name="Suggested channel"/>
    <x:tableColumn id="13" name="Coverage and review notes"/>
    <x:tableColumn id="14" name="Reviewer 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1f3a79385d644e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5" hidden="0" customWidth="1"/>
    <x:col min="3" max="3" width="15" hidden="0" customWidth="1"/>
    <x:col min="4" max="4" width="43" hidden="0" customWidth="1"/>
    <x:col min="5" max="5" width="39" hidden="0" customWidth="1"/>
    <x:col min="6" max="6" width="29" hidden="0" customWidth="1"/>
    <x:col min="7" max="7" width="16" hidden="0" customWidth="1"/>
    <x:col min="8" max="8" width="16" hidden="0" customWidth="1"/>
    <x:col min="9" max="9" width="23" hidden="0" customWidth="1"/>
    <x:col min="10" max="10" width="43" hidden="0" customWidth="1"/>
    <x:col min="11" max="11" width="58" hidden="0" customWidth="1"/>
    <x:col min="12" max="12" width="29" hidden="0" customWidth="1"/>
    <x:col min="13" max="13" width="110" hidden="0" customWidth="1"/>
    <x:col min="14" max="14" width="40" hidden="0" customWidth="1"/>
  </x:cols>
  <x:sheetData>
    <x:row r="2" hidden="0">
      <x:c r="A2" s="1" t="str">
        <x:v>Sanskrit course video review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3" hidden="0" customHeight="1">
      <x:c r="A3" s="2" t="str">
        <x:v>Owner approved all 44 current choices on 20 Oct 2026. Amber chosen fields remain editable for later replacements.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23" hidden="0" customHeight="1">
      <x:c r="A4" s="2" t="str">
        <x:v>Clip times are whole seconds. Choose a short passage for long lessons and workshops. Export XLSX or CSV after review.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23" hidden="0" customHeight="1">
      <x:c r="A5" s="2" t="str">
        <x:v>20 Oct 2026: all 44 approved choices imported into the local course. The Sanskrit Channel: 12 units. Alternatives: 32.</x:v>
      </x:c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</x:row>
    <x:row r="6" hidden="0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</x:row>
    <x:row r="7" ht="36" hidden="0" customHeight="1">
      <x:c r="A7" s="3" t="str">
        <x:v>Unit ID</x:v>
      </x:c>
      <x:c r="B7" s="3" t="str">
        <x:v>Unit</x:v>
      </x:c>
      <x:c r="C7" s="3" t="str">
        <x:v>Decision</x:v>
      </x:c>
      <x:c r="D7" s="3" t="str">
        <x:v>Chosen URL</x:v>
      </x:c>
      <x:c r="E7" s="3" t="str">
        <x:v>Chosen title</x:v>
      </x:c>
      <x:c r="F7" s="3" t="str">
        <x:v>Chosen channel</x:v>
      </x:c>
      <x:c r="G7" s="4" t="str">
        <x:v>Start seconds</x:v>
      </x:c>
      <x:c r="H7" s="4" t="str">
        <x:v>End seconds</x:v>
      </x:c>
      <x:c r="I7" s="3" t="str">
        <x:v>Import status</x:v>
      </x:c>
      <x:c r="J7" s="3" t="str">
        <x:v>Suggested URL</x:v>
      </x:c>
      <x:c r="K7" s="3" t="str">
        <x:v>Suggested title</x:v>
      </x:c>
      <x:c r="L7" s="3" t="str">
        <x:v>Suggested channel</x:v>
      </x:c>
      <x:c r="M7" s="3" t="str">
        <x:v>Coverage and review notes</x:v>
      </x:c>
      <x:c r="N7" s="3" t="str">
        <x:v>Reviewer notes</x:v>
      </x:c>
    </x:row>
    <x:row r="8" ht="135" hidden="0" customHeight="1">
      <x:c r="A8" s="5" t="str">
        <x:v>vowels</x:v>
      </x:c>
      <x:c r="B8" s="5" t="str">
        <x:v>Vowels</x:v>
      </x:c>
      <x:c r="C8" s="6" t="str">
        <x:v>Approved</x:v>
      </x:c>
      <x:c r="D8" s="6" t="str">
        <x:v>https://www.youtube.com/watch?v=a4rz9NbMq0M</x:v>
      </x:c>
      <x:c r="E8" s="6" t="str">
        <x:v>The First Sanskrit Lesson- Mastery of Sound</x:v>
      </x:c>
      <x:c r="F8" s="6" t="str">
        <x:v>The Sanskrit Channel</x:v>
      </x:c>
      <x:c r="G8" s="7"/>
      <x:c r="H8" s="7"/>
      <x:c r="I8" s="5" t="str">
        <x:f>IF(C8="Approved",IF(AND(D8&lt;&gt;"",E8&lt;&gt;"",F8&lt;&gt;""),"Ready for validation","Complete chosen fields"),IF(C8="Reject","Excluded","Needs review"))</x:f>
        <x:v>Ready for validation</x:v>
      </x:c>
      <x:c r="J8" s="5" t="str">
        <x:v>https://www.youtube.com/watch?v=a4rz9NbMq0M</x:v>
      </x:c>
      <x:c r="K8" s="5" t="str">
        <x:v>The First Sanskrit Lesson- Mastery of Sound</x:v>
      </x:c>
      <x:c r="L8" s="5" t="str">
        <x:v>The Sanskrit Channel</x:v>
      </x:c>
      <x:c r="M8" s="5" t="str">
        <x:v>Preferred channel. Vowel sound production. Full video 9:15; choose a short teaching clip. Check ऋ and ऌ against the course. Alternative: https://www.youtube.com/watch?v=UfNXkiaGX9I (Swami Atma); https://www.youtube.com/watch?v=5I6tj35JTtU (Tattvam; detailed vowel lengths)</x:v>
      </x:c>
      <x:c r="N8" s="6" t="str"/>
    </x:row>
    <x:row r="9" ht="135" hidden="0" customHeight="1">
      <x:c r="A9" s="5" t="str">
        <x:v>consonants</x:v>
      </x:c>
      <x:c r="B9" s="5" t="str">
        <x:v>Consonants</x:v>
      </x:c>
      <x:c r="C9" s="6" t="str">
        <x:v>Approved</x:v>
      </x:c>
      <x:c r="D9" s="6" t="str">
        <x:v>https://www.youtube.com/watch?v=dq5VdY69RMc</x:v>
      </x:c>
      <x:c r="E9" s="6" t="str">
        <x:v>The First Sanskrit Lesson- Mastery of Sound(Check Point)</x:v>
      </x:c>
      <x:c r="F9" s="6" t="str">
        <x:v>The Sanskrit Channel</x:v>
      </x:c>
      <x:c r="G9" s="7"/>
      <x:c r="H9" s="7"/>
      <x:c r="I9" s="5" t="str">
        <x:f>IF(C9="Approved",IF(AND(D9&lt;&gt;"",E9&lt;&gt;"",F9&lt;&gt;""),"Ready for validation","Complete chosen fields"),IF(C9="Reject","Excluded","Needs review"))</x:f>
        <x:v>Ready for validation</x:v>
      </x:c>
      <x:c r="J9" s="5" t="str">
        <x:v>https://www.youtube.com/watch?v=dq5VdY69RMc</x:v>
      </x:c>
      <x:c r="K9" s="5" t="str">
        <x:v>The First Sanskrit Lesson- Mastery of Sound(Check Point)</x:v>
      </x:c>
      <x:c r="L9" s="5" t="str">
        <x:v>The Sanskrit Channel</x:v>
      </x:c>
      <x:c r="M9" s="5" t="str">
        <x:v>Preferred channel. Consonant pronunciation checkpoint. Full video 6:51; choose a short clip. Check all five rows, aspiration and voicing. Alternative: https://www.youtube.com/watch?v=p2dGBElw3k4 (Lakshya Yoga); https://www.youtube.com/watch?v=OXdeSOFisrE (Academy of Indian Philosophy; hard/soft contrast)</x:v>
      </x:c>
      <x:c r="N9" s="6" t="str"/>
    </x:row>
    <x:row r="10" ht="135" hidden="0" customHeight="1">
      <x:c r="A10" s="5" t="str">
        <x:v>joined-letters</x:v>
      </x:c>
      <x:c r="B10" s="5" t="str">
        <x:v>Joined letters</x:v>
      </x:c>
      <x:c r="C10" s="6" t="str">
        <x:v>Approved</x:v>
      </x:c>
      <x:c r="D10" s="6" t="str">
        <x:v>https://www.youtube.com/watch?v=s2hReqbgsL0</x:v>
      </x:c>
      <x:c r="E10" s="6" t="str">
        <x:v>How to Pronounce ज्ञ in Sanskrit - 'gya' or 'gnya' or 'dnya' or 'jna'</x:v>
      </x:c>
      <x:c r="F10" s="6" t="str">
        <x:v>The Sanskrit Channel</x:v>
      </x:c>
      <x:c r="G10" s="7"/>
      <x:c r="H10" s="7"/>
      <x:c r="I10" s="5" t="str">
        <x:f>IF(C10="Approved",IF(AND(D10&lt;&gt;"",E10&lt;&gt;"",F10&lt;&gt;""),"Ready for validation","Complete chosen fields"),IF(C10="Reject","Excluded","Needs review"))</x:f>
        <x:v>Ready for validation</x:v>
      </x:c>
      <x:c r="J10" s="5" t="str">
        <x:v>https://www.youtube.com/watch?v=s2hReqbgsL0</x:v>
      </x:c>
      <x:c r="K10" s="5" t="str">
        <x:v>How to Pronounce ज्ञ in Sanskrit - 'gya' or 'gnya' or 'dnya' or 'jna'</x:v>
      </x:c>
      <x:c r="L10" s="5" t="str">
        <x:v>The Sanskrit Channel</x:v>
      </x:c>
      <x:c r="M10" s="5" t="str">
        <x:v>Preferred channel. Partial match: pronunciation of ज्ञ only. Full video 6:27; choose a short clip. The alternative covers conjuncts more broadly. Alternative: https://www.youtube.com/watch?v=s12IC3kxltk (Devabharati)</x:v>
      </x:c>
      <x:c r="N10" s="6" t="str"/>
    </x:row>
    <x:row r="11" ht="135" hidden="0" customHeight="1">
      <x:c r="A11" s="5" t="str">
        <x:v>reading</x:v>
      </x:c>
      <x:c r="B11" s="5" t="str">
        <x:v>Reading words</x:v>
      </x:c>
      <x:c r="C11" s="6" t="str">
        <x:v>Approved</x:v>
      </x:c>
      <x:c r="D11" s="6" t="str">
        <x:v>https://www.youtube.com/watch?v=InXksosbHTE</x:v>
      </x:c>
      <x:c r="E11" s="6" t="str">
        <x:v>Sanskrit Reading Tutor  Part 1 How to use this free application to teach yourself to read Sanskrit</x:v>
      </x:c>
      <x:c r="F11" s="6" t="str">
        <x:v>Enjoy Learning Sanskrit</x:v>
      </x:c>
      <x:c r="G11" s="7"/>
      <x:c r="H11" s="7"/>
      <x:c r="I11" s="5" t="str">
        <x:f>IF(C11="Approved",IF(AND(D11&lt;&gt;"",E11&lt;&gt;"",F11&lt;&gt;""),"Ready for validation","Complete chosen fields"),IF(C11="Reject","Excluded","Needs review"))</x:f>
        <x:v>Ready for validation</x:v>
      </x:c>
      <x:c r="J11" s="5" t="str">
        <x:v>https://www.youtube.com/watch?v=InXksosbHTE</x:v>
      </x:c>
      <x:c r="K11" s="5" t="str">
        <x:v>Sanskrit Reading Tutor  Part 1 How to use this free application to teach yourself to read Sanskrit</x:v>
      </x:c>
      <x:c r="L11" s="5" t="str">
        <x:v>Enjoy Learning Sanskrit</x:v>
      </x:c>
      <x:c r="M11" s="5" t="str">
        <x:v>Alternative: no suitable topic-specific public lesson identified in the preferred channel catalog/search. Syllable-by-syllable reading demonstration. Includes another tool's interface; consider replacing with a direct reading lesson.</x:v>
      </x:c>
      <x:c r="N11" s="6" t="str"/>
    </x:row>
    <x:row r="12" ht="135" hidden="0" customHeight="1">
      <x:c r="A12" s="5" t="str">
        <x:v>who-does</x:v>
      </x:c>
      <x:c r="B12" s="5" t="str">
        <x:v>Who does what</x:v>
      </x:c>
      <x:c r="C12" s="6" t="str">
        <x:v>Approved</x:v>
      </x:c>
      <x:c r="D12" s="6" t="str">
        <x:v>https://www.youtube.com/watch?v=zx1cnmXvUkI</x:v>
      </x:c>
      <x:c r="E12" s="6" t="str">
        <x:v>संस्कृतम् - पाठ 11, सर्वनाम, लट् लकार. Learn Sanskrit: Pronouns &amp; the Present Tense</x:v>
      </x:c>
      <x:c r="F12" s="6" t="str">
        <x:v>Knowledgology</x:v>
      </x:c>
      <x:c r="G12" s="7"/>
      <x:c r="H12" s="7"/>
      <x:c r="I12" s="5" t="str">
        <x:f>IF(C12="Approved",IF(AND(D12&lt;&gt;"",E12&lt;&gt;"",F12&lt;&gt;""),"Ready for validation","Complete chosen fields"),IF(C12="Reject","Excluded","Needs review"))</x:f>
        <x:v>Ready for validation</x:v>
      </x:c>
      <x:c r="J12" s="5" t="str">
        <x:v>https://www.youtube.com/watch?v=zx1cnmXvUkI</x:v>
      </x:c>
      <x:c r="K12" s="5" t="str">
        <x:v>संस्कृतम् - पाठ 11, सर्वनाम, लट् लकार. Learn Sanskrit: Pronouns &amp; the Present Tense</x:v>
      </x:c>
      <x:c r="L12" s="5" t="str">
        <x:v>Knowledgology</x:v>
      </x:c>
      <x:c r="M12" s="5" t="str">
        <x:v>Alternative: no suitable topic-specific public lesson identified in the preferred channel catalog/search. Sentence building and present-tense forms. Check suitability before the learner knows all pronouns.</x:v>
      </x:c>
      <x:c r="N12" s="6" t="str"/>
    </x:row>
    <x:row r="13" ht="135" hidden="0" customHeight="1">
      <x:c r="A13" s="5" t="str">
        <x:v>one-two-many</x:v>
      </x:c>
      <x:c r="B13" s="5" t="str">
        <x:v>One, two, many</x:v>
      </x:c>
      <x:c r="C13" s="6" t="str">
        <x:v>Approved</x:v>
      </x:c>
      <x:c r="D13" s="6" t="str">
        <x:v>https://www.youtube.com/watch?v=7DgU79MgJaM</x:v>
      </x:c>
      <x:c r="E13" s="6" t="str">
        <x:v>How to Understand Sanskrit Tables - 3x3 - Basics of #Sanskrit #Grammar</x:v>
      </x:c>
      <x:c r="F13" s="6" t="str">
        <x:v>The Sanskrit Channel</x:v>
      </x:c>
      <x:c r="G13" s="7"/>
      <x:c r="H13" s="7"/>
      <x:c r="I13" s="5" t="str">
        <x:f>IF(C13="Approved",IF(AND(D13&lt;&gt;"",E13&lt;&gt;"",F13&lt;&gt;""),"Ready for validation","Complete chosen fields"),IF(C13="Reject","Excluded","Needs review"))</x:f>
        <x:v>Ready for validation</x:v>
      </x:c>
      <x:c r="J13" s="5" t="str">
        <x:v>https://www.youtube.com/watch?v=7DgU79MgJaM</x:v>
      </x:c>
      <x:c r="K13" s="5" t="str">
        <x:v>How to Understand Sanskrit Tables - 3x3 - Basics of #Sanskrit #Grammar</x:v>
      </x:c>
      <x:c r="L13" s="5" t="str">
        <x:v>The Sanskrit Channel</x:v>
      </x:c>
      <x:c r="M13" s="5" t="str">
        <x:v>Preferred channel. Partial match: the 3×3 grammar-table layout. Confirm singular, dual and plural examples. Alternative is dedicated to the three numbers. Alternative: https://www.youtube.com/watch?v=BcEqUZFxbmk (Sriram School of Sanskrit)</x:v>
      </x:c>
      <x:c r="N13" s="6" t="str"/>
    </x:row>
    <x:row r="14" ht="135" hidden="0" customHeight="1">
      <x:c r="A14" s="5" t="str">
        <x:v>he-she-it</x:v>
      </x:c>
      <x:c r="B14" s="5" t="str">
        <x:v>He, she, it</x:v>
      </x:c>
      <x:c r="C14" s="6" t="str">
        <x:v>Approved</x:v>
      </x:c>
      <x:c r="D14" s="6" t="str">
        <x:v>https://www.youtube.com/watch?v=6NaNNAjYhrs</x:v>
      </x:c>
      <x:c r="E14" s="6" t="str">
        <x:v>Try this Unique and Easy method of Learning Sanskrit- Pronouns</x:v>
      </x:c>
      <x:c r="F14" s="6" t="str">
        <x:v>The Sanskrit Channel</x:v>
      </x:c>
      <x:c r="G14" s="7"/>
      <x:c r="H14" s="7"/>
      <x:c r="I14" s="5" t="str">
        <x:f>IF(C14="Approved",IF(AND(D14&lt;&gt;"",E14&lt;&gt;"",F14&lt;&gt;""),"Ready for validation","Complete chosen fields"),IF(C14="Reject","Excluded","Needs review"))</x:f>
        <x:v>Ready for validation</x:v>
      </x:c>
      <x:c r="J14" s="5" t="str">
        <x:v>https://www.youtube.com/watch?v=6NaNNAjYhrs</x:v>
      </x:c>
      <x:c r="K14" s="5" t="str">
        <x:v>Try this Unique and Easy method of Learning Sanskrit- Pronouns</x:v>
      </x:c>
      <x:c r="L14" s="5" t="str">
        <x:v>The Sanskrit Channel</x:v>
      </x:c>
      <x:c r="M14" s="5" t="str">
        <x:v>Preferred channel. Practical pronoun examples. Full video 7:27; choose the सः / सा / तत् section after checking gender and agreement. Alternative: https://www.youtube.com/watch?v=5tiyoZdBBQ4 (Sanskrit.Today); https://www.youtube.com/watch?v=aWWsa9VFh80 (NAVI EDUCATION; demonstratives by gender)</x:v>
      </x:c>
      <x:c r="N14" s="6" t="str"/>
    </x:row>
    <x:row r="15" ht="135" hidden="0" customHeight="1">
      <x:c r="A15" s="5" t="str">
        <x:v>i-and-you</x:v>
      </x:c>
      <x:c r="B15" s="5" t="str">
        <x:v>I and you</x:v>
      </x:c>
      <x:c r="C15" s="6" t="str">
        <x:v>Approved</x:v>
      </x:c>
      <x:c r="D15" s="6" t="str">
        <x:v>https://www.youtube.com/watch?v=6NaNNAjYhrs</x:v>
      </x:c>
      <x:c r="E15" s="6" t="str">
        <x:v>Try this Unique and Easy method of Learning Sanskrit- Pronouns</x:v>
      </x:c>
      <x:c r="F15" s="6" t="str">
        <x:v>The Sanskrit Channel</x:v>
      </x:c>
      <x:c r="G15" s="7"/>
      <x:c r="H15" s="7"/>
      <x:c r="I15" s="5" t="str">
        <x:f>IF(C15="Approved",IF(AND(D15&lt;&gt;"",E15&lt;&gt;"",F15&lt;&gt;""),"Ready for validation","Complete chosen fields"),IF(C15="Reject","Excluded","Needs review"))</x:f>
        <x:v>Ready for validation</x:v>
      </x:c>
      <x:c r="J15" s="5" t="str">
        <x:v>https://www.youtube.com/watch?v=6NaNNAjYhrs</x:v>
      </x:c>
      <x:c r="K15" s="5" t="str">
        <x:v>Try this Unique and Easy method of Learning Sanskrit- Pronouns</x:v>
      </x:c>
      <x:c r="L15" s="5" t="str">
        <x:v>The Sanskrit Channel</x:v>
      </x:c>
      <x:c r="M15" s="5" t="str">
        <x:v>Preferred channel. Shared pronoun lesson. Full video 7:27; choose the अहम् / त्वम् section and verify अस्मि coverage. Alternative: https://www.youtube.com/watch?v=zx1cnmXvUkI (Knowledgology)</x:v>
      </x:c>
      <x:c r="N15" s="6" t="str"/>
    </x:row>
    <x:row r="16" ht="135" hidden="0" customHeight="1">
      <x:c r="A16" s="5" t="str">
        <x:v>object</x:v>
      </x:c>
      <x:c r="B16" s="5" t="str">
        <x:v>The object</x:v>
      </x:c>
      <x:c r="C16" s="6" t="str">
        <x:v>Approved</x:v>
      </x:c>
      <x:c r="D16" s="6" t="str">
        <x:v>https://www.youtube.com/watch?v=7BMR8CllQxg</x:v>
      </x:c>
      <x:c r="E16" s="6" t="str">
        <x:v>Master Sanskrit Grammar: Understanding Dviteeya Vibhakti</x:v>
      </x:c>
      <x:c r="F16" s="6" t="str">
        <x:v>SANSKRIT ONLINE  </x:v>
      </x:c>
      <x:c r="G16" s="7"/>
      <x:c r="H16" s="7"/>
      <x:c r="I16" s="5" t="str">
        <x:f>IF(C16="Approved",IF(AND(D16&lt;&gt;"",E16&lt;&gt;"",F16&lt;&gt;""),"Ready for validation","Complete chosen fields"),IF(C16="Reject","Excluded","Needs review"))</x:f>
        <x:v>Ready for validation</x:v>
      </x:c>
      <x:c r="J16" s="5" t="str">
        <x:v>https://www.youtube.com/watch?v=7BMR8CllQxg</x:v>
      </x:c>
      <x:c r="K16" s="5" t="str">
        <x:v>Master Sanskrit Grammar: Understanding Dviteeya Vibhakti</x:v>
      </x:c>
      <x:c r="L16" s="5" t="str">
        <x:v>SANSKRIT ONLINE  </x:v>
      </x:c>
      <x:c r="M16" s="5" t="str">
        <x:v>Alternative: no suitable topic-specific public lesson identified in the preferred channel catalog/search. Direct accusative-case candidate. Publisher channel still needs confirmation.</x:v>
      </x:c>
      <x:c r="N16" s="6" t="str"/>
    </x:row>
    <x:row r="17" ht="135" hidden="0" customHeight="1">
      <x:c r="A17" s="5" t="str">
        <x:v>with-by</x:v>
      </x:c>
      <x:c r="B17" s="5" t="str">
        <x:v>With and by</x:v>
      </x:c>
      <x:c r="C17" s="6" t="str">
        <x:v>Approved</x:v>
      </x:c>
      <x:c r="D17" s="6" t="str">
        <x:v>https://www.youtube.com/watch?v=D9EQM1UK2_w</x:v>
      </x:c>
      <x:c r="E17" s="6" t="str">
        <x:v>तृतीया विभक्ति तथा करण कारक // Tritiya vibhakti tatha Karan karak // Karan karak in sanskrit</x:v>
      </x:c>
      <x:c r="F17" s="6" t="str">
        <x:v>Learn Sanskrit Channel</x:v>
      </x:c>
      <x:c r="G17" s="7"/>
      <x:c r="H17" s="7"/>
      <x:c r="I17" s="5" t="str">
        <x:f>IF(C17="Approved",IF(AND(D17&lt;&gt;"",E17&lt;&gt;"",F17&lt;&gt;""),"Ready for validation","Complete chosen fields"),IF(C17="Reject","Excluded","Needs review"))</x:f>
        <x:v>Ready for validation</x:v>
      </x:c>
      <x:c r="J17" s="5" t="str">
        <x:v>https://www.youtube.com/watch?v=D9EQM1UK2_w</x:v>
      </x:c>
      <x:c r="K17" s="5" t="str">
        <x:v>तृतीया विभक्ति तथा करण कारक // Tritiya vibhakti tatha Karan karak // Karan karak in sanskrit</x:v>
      </x:c>
      <x:c r="L17" s="5" t="str">
        <x:v>Learn Sanskrit Channel</x:v>
      </x:c>
      <x:c r="M17" s="5" t="str">
        <x:v>Alternative: no suitable topic-specific public lesson identified in the preferred channel catalog/search. Direct instrumental-case lesson. Check सह construction as well as means/instrument.</x:v>
      </x:c>
      <x:c r="N17" s="6" t="str"/>
    </x:row>
    <x:row r="18" ht="135" hidden="0" customHeight="1">
      <x:c r="A18" s="5" t="str">
        <x:v>for-to</x:v>
      </x:c>
      <x:c r="B18" s="5" t="str">
        <x:v>For and to</x:v>
      </x:c>
      <x:c r="C18" s="6" t="str">
        <x:v>Approved</x:v>
      </x:c>
      <x:c r="D18" s="6" t="str">
        <x:v>https://www.youtube.com/watch?v=mgCK9JB3NhE</x:v>
      </x:c>
      <x:c r="E18" s="6" t="str">
        <x:v>चतुर्थी विभक्ति तथा संप्रदान कारक // Chaturthi vibhakti tatha Sampradan karak // Sampradan Karak</x:v>
      </x:c>
      <x:c r="F18" s="6" t="str">
        <x:v>Learn Sanskrit Channel</x:v>
      </x:c>
      <x:c r="G18" s="7"/>
      <x:c r="H18" s="7"/>
      <x:c r="I18" s="5" t="str">
        <x:f>IF(C18="Approved",IF(AND(D18&lt;&gt;"",E18&lt;&gt;"",F18&lt;&gt;""),"Ready for validation","Complete chosen fields"),IF(C18="Reject","Excluded","Needs review"))</x:f>
        <x:v>Ready for validation</x:v>
      </x:c>
      <x:c r="J18" s="5" t="str">
        <x:v>https://www.youtube.com/watch?v=mgCK9JB3NhE</x:v>
      </x:c>
      <x:c r="K18" s="5" t="str">
        <x:v>चतुर्थी विभक्ति तथा संप्रदान कारक // Chaturthi vibhakti tatha Sampradan karak // Sampradan Karak</x:v>
      </x:c>
      <x:c r="L18" s="5" t="str">
        <x:v>Learn Sanskrit Channel</x:v>
      </x:c>
      <x:c r="M18" s="5" t="str">
        <x:v>Alternative: no suitable topic-specific public lesson identified in the preferred channel catalog/search. Direct recipient/for/to lesson. Confirm purpose construction coverage.</x:v>
      </x:c>
      <x:c r="N18" s="6" t="str"/>
    </x:row>
    <x:row r="19" ht="135" hidden="0" customHeight="1">
      <x:c r="A19" s="5" t="str">
        <x:v>from</x:v>
      </x:c>
      <x:c r="B19" s="5" t="str">
        <x:v>From</x:v>
      </x:c>
      <x:c r="C19" s="6" t="str">
        <x:v>Approved</x:v>
      </x:c>
      <x:c r="D19" s="6" t="str">
        <x:v>https://www.youtube.com/watch?v=PbfPcrq8z-A</x:v>
      </x:c>
      <x:c r="E19" s="6" t="str">
        <x:v>संस्कृतम् – पाठ 48 अपादान कारक Learn Sanskrit: The Ablative Case पंचमी विभक्ति</x:v>
      </x:c>
      <x:c r="F19" s="6" t="str">
        <x:v>Knowledgology</x:v>
      </x:c>
      <x:c r="G19" s="7"/>
      <x:c r="H19" s="7"/>
      <x:c r="I19" s="5" t="str">
        <x:f>IF(C19="Approved",IF(AND(D19&lt;&gt;"",E19&lt;&gt;"",F19&lt;&gt;""),"Ready for validation","Complete chosen fields"),IF(C19="Reject","Excluded","Needs review"))</x:f>
        <x:v>Ready for validation</x:v>
      </x:c>
      <x:c r="J19" s="5" t="str">
        <x:v>https://www.youtube.com/watch?v=PbfPcrq8z-A</x:v>
      </x:c>
      <x:c r="K19" s="5" t="str">
        <x:v>संस्कृतम् – पाठ 48 अपादान कारक Learn Sanskrit: The Ablative Case पंचमी विभक्ति</x:v>
      </x:c>
      <x:c r="L19" s="5" t="str">
        <x:v>Knowledgology</x:v>
      </x:c>
      <x:c r="M19" s="5" t="str">
        <x:v>Alternative: no suitable topic-specific public lesson identified in the preferred channel catalog/search. Ablative plus special constructions and sentence practice.</x:v>
      </x:c>
      <x:c r="N19" s="6" t="str"/>
    </x:row>
    <x:row r="20" ht="135" hidden="0" customHeight="1">
      <x:c r="A20" s="5" t="str">
        <x:v>of</x:v>
      </x:c>
      <x:c r="B20" s="5" t="str">
        <x:v>Of</x:v>
      </x:c>
      <x:c r="C20" s="6" t="str">
        <x:v>Approved</x:v>
      </x:c>
      <x:c r="D20" s="6" t="str">
        <x:v>https://www.youtube.com/watch?v=4c5ctmDQrKg</x:v>
      </x:c>
      <x:c r="E20" s="6" t="str">
        <x:v>षष्ठीकारकः | Sanskrit Karak Explained | Part 6 | Genitive Case| Full Explained | Class 9 &amp; 10</x:v>
      </x:c>
      <x:c r="F20" s="6" t="str">
        <x:v>Vakratunda Sanskrit Classes by Sonali</x:v>
      </x:c>
      <x:c r="G20" s="7"/>
      <x:c r="H20" s="7"/>
      <x:c r="I20" s="5" t="str">
        <x:f>IF(C20="Approved",IF(AND(D20&lt;&gt;"",E20&lt;&gt;"",F20&lt;&gt;""),"Ready for validation","Complete chosen fields"),IF(C20="Reject","Excluded","Needs review"))</x:f>
        <x:v>Ready for validation</x:v>
      </x:c>
      <x:c r="J20" s="5" t="str">
        <x:v>https://www.youtube.com/watch?v=4c5ctmDQrKg</x:v>
      </x:c>
      <x:c r="K20" s="5" t="str">
        <x:v>षष्ठीकारकः | Sanskrit Karak Explained | Part 6 | Genitive Case| Full Explained | Class 9 &amp; 10</x:v>
      </x:c>
      <x:c r="L20" s="5" t="str">
        <x:v>Vakratunda Sanskrit Classes by Sonali</x:v>
      </x:c>
      <x:c r="M20" s="5" t="str">
        <x:v>Alternative: no suitable topic-specific public lesson identified in the preferred channel catalog/search. Dedicated genitive lesson with possession and relationship examples. Check the case terminology and beginner suitability. Alternative: https://www.youtube.com/watch?v=p5WSSagroOM (Sriram School of Sanskrit; sixth inflection, confirm teaching language)</x:v>
      </x:c>
      <x:c r="N20" s="6" t="str"/>
    </x:row>
    <x:row r="21" ht="135" hidden="0" customHeight="1">
      <x:c r="A21" s="5" t="str">
        <x:v>in-at</x:v>
      </x:c>
      <x:c r="B21" s="5" t="str">
        <x:v>In and at</x:v>
      </x:c>
      <x:c r="C21" s="6" t="str">
        <x:v>Approved</x:v>
      </x:c>
      <x:c r="D21" s="6" t="str">
        <x:v>https://www.youtube.com/watch?v=K2MYDIxGmc0</x:v>
      </x:c>
      <x:c r="E21" s="6" t="str">
        <x:v>संस्कृतम् – पाठ 59 अधिकरण कारक Learn Sanskrit: The Locative Case सप्तमी विभक्ति</x:v>
      </x:c>
      <x:c r="F21" s="6" t="str">
        <x:v>Knowledgology</x:v>
      </x:c>
      <x:c r="G21" s="7"/>
      <x:c r="H21" s="7"/>
      <x:c r="I21" s="5" t="str">
        <x:f>IF(C21="Approved",IF(AND(D21&lt;&gt;"",E21&lt;&gt;"",F21&lt;&gt;""),"Ready for validation","Complete chosen fields"),IF(C21="Reject","Excluded","Needs review"))</x:f>
        <x:v>Ready for validation</x:v>
      </x:c>
      <x:c r="J21" s="5" t="str">
        <x:v>https://www.youtube.com/watch?v=K2MYDIxGmc0</x:v>
      </x:c>
      <x:c r="K21" s="5" t="str">
        <x:v>संस्कृतम् – पाठ 59 अधिकरण कारक Learn Sanskrit: The Locative Case सप्तमी विभक्ति</x:v>
      </x:c>
      <x:c r="L21" s="5" t="str">
        <x:v>Knowledgology</x:v>
      </x:c>
      <x:c r="M21" s="5" t="str">
        <x:v>Alternative: no suitable topic-specific public lesson identified in the preferred channel catalog/search. Dedicated locative lesson and special constructions. Check time expressions as well as location.</x:v>
      </x:c>
      <x:c r="N21" s="6" t="str"/>
    </x:row>
    <x:row r="22" ht="135" hidden="0" customHeight="1">
      <x:c r="A22" s="5" t="str">
        <x:v>calling</x:v>
      </x:c>
      <x:c r="B22" s="5" t="str">
        <x:v>Calling out</x:v>
      </x:c>
      <x:c r="C22" s="6" t="str">
        <x:v>Approved</x:v>
      </x:c>
      <x:c r="D22" s="6" t="str">
        <x:v>https://www.youtube.com/watch?v=HzlO32hjJOc</x:v>
      </x:c>
      <x:c r="E22" s="6" t="str">
        <x:v>Say 'Hey' in Sanskrit - Learn Sanskrit Online - Basics #learn_sanskrit_online #spoken_sanskrit</x:v>
      </x:c>
      <x:c r="F22" s="6" t="str">
        <x:v>The Sanskrit Channel</x:v>
      </x:c>
      <x:c r="G22" s="7"/>
      <x:c r="H22" s="7"/>
      <x:c r="I22" s="5" t="str">
        <x:f>IF(C22="Approved",IF(AND(D22&lt;&gt;"",E22&lt;&gt;"",F22&lt;&gt;""),"Ready for validation","Complete chosen fields"),IF(C22="Reject","Excluded","Needs review"))</x:f>
        <x:v>Ready for validation</x:v>
      </x:c>
      <x:c r="J22" s="5" t="str">
        <x:v>https://www.youtube.com/watch?v=HzlO32hjJOc</x:v>
      </x:c>
      <x:c r="K22" s="5" t="str">
        <x:v>Say 'Hey' in Sanskrit - Learn Sanskrit Online - Basics #learn_sanskrit_online #spoken_sanskrit</x:v>
      </x:c>
      <x:c r="L22" s="5" t="str">
        <x:v>The Sanskrit Channel</x:v>
      </x:c>
      <x:c r="M22" s="5" t="str">
        <x:v>Preferred channel. Partial match: addressing someone in conversation. Check हे / भोः and vocative endings; the alternative explains the case directly. Alternative: https://www.youtube.com/watch?v=a4MoZvnwPyg (Devabharati); https://www.youtube.com/watch?v=l2CcOSkkgPw (Yes Vedanta; locative and vocative, English subtitles)</x:v>
      </x:c>
      <x:c r="N22" s="6" t="str"/>
    </x:row>
    <x:row r="23" ht="135" hidden="0" customHeight="1">
      <x:c r="A23" s="5" t="str">
        <x:v>noun-families-1</x:v>
      </x:c>
      <x:c r="B23" s="5" t="str">
        <x:v>Noun families I</x:v>
      </x:c>
      <x:c r="C23" s="6" t="str">
        <x:v>Approved</x:v>
      </x:c>
      <x:c r="D23" s="6" t="str">
        <x:v>https://www.youtube.com/watch?v=ZV7qnKi8c9M</x:v>
      </x:c>
      <x:c r="E23" s="6" t="str">
        <x:v>ShabdaRoop  ।। शब्दरूप संग्रह ।। बालक लता फल  अस्मद् युष्मद् ।। मातृ पितृ ।। नदी मुनि मति भानु शब्द</x:v>
      </x:c>
      <x:c r="F23" s="6" t="str">
        <x:v>SCIENTIFIC LANGUAGE - SANSKRIT</x:v>
      </x:c>
      <x:c r="G23" s="7"/>
      <x:c r="H23" s="7"/>
      <x:c r="I23" s="5" t="str">
        <x:f>IF(C23="Approved",IF(AND(D23&lt;&gt;"",E23&lt;&gt;"",F23&lt;&gt;""),"Ready for validation","Complete chosen fields"),IF(C23="Reject","Excluded","Needs review"))</x:f>
        <x:v>Ready for validation</x:v>
      </x:c>
      <x:c r="J23" s="5" t="str">
        <x:v>https://www.youtube.com/watch?v=ZV7qnKi8c9M</x:v>
      </x:c>
      <x:c r="K23" s="5" t="str">
        <x:v>ShabdaRoop  ।। शब्दरूप संग्रह ।। बालक लता फल  अस्मद् युष्मद् ।। मातृ पितृ ।। नदी मुनि मति भानु शब्द</x:v>
      </x:c>
      <x:c r="L23" s="5" t="str">
        <x:v>SCIENTIFIC LANGUAGE - SANSKRIT</x:v>
      </x:c>
      <x:c r="M23" s="5" t="str">
        <x:v>Alternative: no suitable topic-specific public lesson identified in the preferred channel catalog/search. Contains the basic paradigms together. Broad reference; check explanation versus memorization.</x:v>
      </x:c>
      <x:c r="N23" s="6" t="str"/>
    </x:row>
    <x:row r="24" ht="135" hidden="0" customHeight="1">
      <x:c r="A24" s="5" t="str">
        <x:v>noun-families-2</x:v>
      </x:c>
      <x:c r="B24" s="5" t="str">
        <x:v>Noun families II</x:v>
      </x:c>
      <x:c r="C24" s="6" t="str">
        <x:v>Approved</x:v>
      </x:c>
      <x:c r="D24" s="6" t="str">
        <x:v>https://www.youtube.com/watch?v=ZV7qnKi8c9M</x:v>
      </x:c>
      <x:c r="E24" s="6" t="str">
        <x:v>ShabdaRoop  ।। शब्दरूप संग्रह ।। बालक लता फल  अस्मद् युष्मद् ।। मातृ पितृ ।। नदी मुनि मति भानु शब्द</x:v>
      </x:c>
      <x:c r="F24" s="6" t="str">
        <x:v>SCIENTIFIC LANGUAGE - SANSKRIT</x:v>
      </x:c>
      <x:c r="G24" s="7"/>
      <x:c r="H24" s="7"/>
      <x:c r="I24" s="5" t="str">
        <x:f>IF(C24="Approved",IF(AND(D24&lt;&gt;"",E24&lt;&gt;"",F24&lt;&gt;""),"Ready for validation","Complete chosen fields"),IF(C24="Reject","Excluded","Needs review"))</x:f>
        <x:v>Ready for validation</x:v>
      </x:c>
      <x:c r="J24" s="5" t="str">
        <x:v>https://www.youtube.com/watch?v=ZV7qnKi8c9M</x:v>
      </x:c>
      <x:c r="K24" s="5" t="str">
        <x:v>ShabdaRoop  ।। शब्दरूप संग्रह ।। बालक लता फल  अस्मद् युष्मद् ।। मातृ पितृ ।। नदी मुनि मति भानु शब्द</x:v>
      </x:c>
      <x:c r="L24" s="5" t="str">
        <x:v>SCIENTIFIC LANGUAGE - SANSKRIT</x:v>
      </x:c>
      <x:c r="M24" s="5" t="str">
        <x:v>Alternative: no suitable topic-specific public lesson identified in the preferred channel catalog/search. Covers several advanced noun families. Shared reference; manually choose a separate useful section. Alternative: https://www.youtube.com/watch?v=rc_8AXFu6sU (Bharti Madam Classes; गुरु only)</x:v>
      </x:c>
      <x:c r="N24" s="6" t="str"/>
    </x:row>
    <x:row r="25" ht="135" hidden="0" customHeight="1">
      <x:c r="A25" s="5" t="str">
        <x:v>pronouns-numbers</x:v>
      </x:c>
      <x:c r="B25" s="5" t="str">
        <x:v>Pronouns and numbers</x:v>
      </x:c>
      <x:c r="C25" s="6" t="str">
        <x:v>Approved</x:v>
      </x:c>
      <x:c r="D25" s="6" t="str">
        <x:v>https://www.youtube.com/watch?v=6NaNNAjYhrs</x:v>
      </x:c>
      <x:c r="E25" s="6" t="str">
        <x:v>Try this Unique and Easy method of Learning Sanskrit- Pronouns</x:v>
      </x:c>
      <x:c r="F25" s="6" t="str">
        <x:v>The Sanskrit Channel</x:v>
      </x:c>
      <x:c r="G25" s="7"/>
      <x:c r="H25" s="7"/>
      <x:c r="I25" s="5" t="str">
        <x:f>IF(C25="Approved",IF(AND(D25&lt;&gt;"",E25&lt;&gt;"",F25&lt;&gt;""),"Ready for validation","Complete chosen fields"),IF(C25="Reject","Excluded","Needs review"))</x:f>
        <x:v>Ready for validation</x:v>
      </x:c>
      <x:c r="J25" s="5" t="str">
        <x:v>https://www.youtube.com/watch?v=6NaNNAjYhrs</x:v>
      </x:c>
      <x:c r="K25" s="5" t="str">
        <x:v>Try this Unique and Easy method of Learning Sanskrit- Pronouns</x:v>
      </x:c>
      <x:c r="L25" s="5" t="str">
        <x:v>The Sanskrit Channel</x:v>
      </x:c>
      <x:c r="M25" s="5" t="str">
        <x:v>Preferred channel. Partial match: pronouns, not number inflection, relatives or telling time. Full video 7:27; choose a short clip. Keep the number lesson as a supplement. Alternative: https://www.youtube.com/watch?v=FKHNlODg-jg (Sanskrit.Today); https://www.youtube.com/watch?v=DtKjCZJsSA0 (Orchids eLearning; pronouns); https://www.youtube.com/watch?v=BNfbz0rLflY (Sanskrit.Today; numbers 1 to 100)</x:v>
      </x:c>
      <x:c r="N25" s="6" t="str"/>
    </x:row>
    <x:row r="26" ht="135" hidden="0" customHeight="1">
      <x:c r="A26" s="5" t="str">
        <x:v>past</x:v>
      </x:c>
      <x:c r="B26" s="5" t="str">
        <x:v>The past</x:v>
      </x:c>
      <x:c r="C26" s="6" t="str">
        <x:v>Approved</x:v>
      </x:c>
      <x:c r="D26" s="6" t="str">
        <x:v>https://www.youtube.com/watch?v=WGhxs9MwcB0</x:v>
      </x:c>
      <x:c r="E26" s="6" t="str">
        <x:v>संस्कृतम् – पाठ 16, लङ् लकार Learn Sanskrit: Past Tense</x:v>
      </x:c>
      <x:c r="F26" s="6" t="str">
        <x:v>Knowledgology</x:v>
      </x:c>
      <x:c r="G26" s="7"/>
      <x:c r="H26" s="7"/>
      <x:c r="I26" s="5" t="str">
        <x:f>IF(C26="Approved",IF(AND(D26&lt;&gt;"",E26&lt;&gt;"",F26&lt;&gt;""),"Ready for validation","Complete chosen fields"),IF(C26="Reject","Excluded","Needs review"))</x:f>
        <x:v>Ready for validation</x:v>
      </x:c>
      <x:c r="J26" s="5" t="str">
        <x:v>https://www.youtube.com/watch?v=WGhxs9MwcB0</x:v>
      </x:c>
      <x:c r="K26" s="5" t="str">
        <x:v>संस्कृतम् – पाठ 16, लङ् लकार Learn Sanskrit: Past Tense</x:v>
      </x:c>
      <x:c r="L26" s="5" t="str">
        <x:v>Knowledgology</x:v>
      </x:c>
      <x:c r="M26" s="5" t="str">
        <x:v>Alternative: no suitable topic-specific public lesson identified in the preferred channel catalog/search. Direct लङ् match. Check augment and agreement examples.</x:v>
      </x:c>
      <x:c r="N26" s="6" t="str"/>
    </x:row>
    <x:row r="27" ht="135" hidden="0" customHeight="1">
      <x:c r="A27" s="5" t="str">
        <x:v>future</x:v>
      </x:c>
      <x:c r="B27" s="5" t="str">
        <x:v>The future</x:v>
      </x:c>
      <x:c r="C27" s="6" t="str">
        <x:v>Approved</x:v>
      </x:c>
      <x:c r="D27" s="6" t="str">
        <x:v>https://www.youtube.com/watch?v=NzQe2FUbrIc</x:v>
      </x:c>
      <x:c r="E27" s="6" t="str">
        <x:v>संस्कृतम् – पाठ 15, लृट् लकार Learn Sanskrit: Future Tense</x:v>
      </x:c>
      <x:c r="F27" s="6" t="str">
        <x:v>Knowledgology</x:v>
      </x:c>
      <x:c r="G27" s="7"/>
      <x:c r="H27" s="7"/>
      <x:c r="I27" s="5" t="str">
        <x:f>IF(C27="Approved",IF(AND(D27&lt;&gt;"",E27&lt;&gt;"",F27&lt;&gt;""),"Ready for validation","Complete chosen fields"),IF(C27="Reject","Excluded","Needs review"))</x:f>
        <x:v>Ready for validation</x:v>
      </x:c>
      <x:c r="J27" s="5" t="str">
        <x:v>https://www.youtube.com/watch?v=NzQe2FUbrIc</x:v>
      </x:c>
      <x:c r="K27" s="5" t="str">
        <x:v>संस्कृतम् – पाठ 15, लृट् लकार Learn Sanskrit: Future Tense</x:v>
      </x:c>
      <x:c r="L27" s="5" t="str">
        <x:v>Knowledgology</x:v>
      </x:c>
      <x:c r="M27" s="5" t="str">
        <x:v>Alternative: no suitable topic-specific public lesson identified in the preferred channel catalog/search. Direct लृट् match with sentence practice.</x:v>
      </x:c>
      <x:c r="N27" s="6" t="str"/>
    </x:row>
    <x:row r="28" ht="135" hidden="0" customHeight="1">
      <x:c r="A28" s="5" t="str">
        <x:v>commands</x:v>
      </x:c>
      <x:c r="B28" s="5" t="str">
        <x:v>Commands</x:v>
      </x:c>
      <x:c r="C28" s="6" t="str">
        <x:v>Approved</x:v>
      </x:c>
      <x:c r="D28" s="6" t="str">
        <x:v>https://www.youtube.com/watch?v=oUNhhd9Ayg8</x:v>
      </x:c>
      <x:c r="E28" s="6" t="str">
        <x:v>संस्कृतम् – पाठ 18, लोट् लकार Learn Sanskrit: Orders, Requests</x:v>
      </x:c>
      <x:c r="F28" s="6" t="str">
        <x:v>Knowledgology</x:v>
      </x:c>
      <x:c r="G28" s="7"/>
      <x:c r="H28" s="7"/>
      <x:c r="I28" s="5" t="str">
        <x:f>IF(C28="Approved",IF(AND(D28&lt;&gt;"",E28&lt;&gt;"",F28&lt;&gt;""),"Ready for validation","Complete chosen fields"),IF(C28="Reject","Excluded","Needs review"))</x:f>
        <x:v>Ready for validation</x:v>
      </x:c>
      <x:c r="J28" s="5" t="str">
        <x:v>https://www.youtube.com/watch?v=oUNhhd9Ayg8</x:v>
      </x:c>
      <x:c r="K28" s="5" t="str">
        <x:v>संस्कृतम् – पाठ 18, लोट् लकार Learn Sanskrit: Orders, Requests</x:v>
      </x:c>
      <x:c r="L28" s="5" t="str">
        <x:v>Knowledgology</x:v>
      </x:c>
      <x:c r="M28" s="5" t="str">
        <x:v>Alternative: no suitable topic-specific public lesson identified in the preferred channel catalog/search. Direct लोट् match. Choose requests as well as commands.</x:v>
      </x:c>
      <x:c r="N28" s="6" t="str"/>
    </x:row>
    <x:row r="29" ht="135" hidden="0" customHeight="1">
      <x:c r="A29" s="5" t="str">
        <x:v>should</x:v>
      </x:c>
      <x:c r="B29" s="5" t="str">
        <x:v>Should and may</x:v>
      </x:c>
      <x:c r="C29" s="6" t="str">
        <x:v>Approved</x:v>
      </x:c>
      <x:c r="D29" s="6" t="str">
        <x:v>https://www.youtube.com/watch?v=P1aGlREXNKc</x:v>
      </x:c>
      <x:c r="E29" s="6" t="str">
        <x:v>संस्कृतम् – पाठ 17, विधिलिङ् लकार Learn Sanskrit: Should</x:v>
      </x:c>
      <x:c r="F29" s="6" t="str">
        <x:v>Knowledgology</x:v>
      </x:c>
      <x:c r="G29" s="7"/>
      <x:c r="H29" s="7"/>
      <x:c r="I29" s="5" t="str">
        <x:f>IF(C29="Approved",IF(AND(D29&lt;&gt;"",E29&lt;&gt;"",F29&lt;&gt;""),"Ready for validation","Complete chosen fields"),IF(C29="Reject","Excluded","Needs review"))</x:f>
        <x:v>Ready for validation</x:v>
      </x:c>
      <x:c r="J29" s="5" t="str">
        <x:v>https://www.youtube.com/watch?v=P1aGlREXNKc</x:v>
      </x:c>
      <x:c r="K29" s="5" t="str">
        <x:v>संस्कृतम् – पाठ 17, विधिलिङ् लकार Learn Sanskrit: Should</x:v>
      </x:c>
      <x:c r="L29" s="5" t="str">
        <x:v>Knowledgology</x:v>
      </x:c>
      <x:c r="M29" s="5" t="str">
        <x:v>Alternative: no suitable topic-specific public lesson identified in the preferred channel catalog/search. Direct विधिलिङ् match. Verify may/would distinctions.</x:v>
      </x:c>
      <x:c r="N29" s="6" t="str"/>
    </x:row>
    <x:row r="30" ht="135" hidden="0" customHeight="1">
      <x:c r="A30" s="5" t="str">
        <x:v>atmanepada</x:v>
      </x:c>
      <x:c r="B30" s="5" t="str">
        <x:v>Acting for oneself</x:v>
      </x:c>
      <x:c r="C30" s="6" t="str">
        <x:v>Approved</x:v>
      </x:c>
      <x:c r="D30" s="6" t="str">
        <x:v>https://www.youtube.com/watch?v=sX1FHzDGbGE</x:v>
      </x:c>
      <x:c r="E30" s="6" t="str">
        <x:v>sanskrit atmanepada(आत्मनेपदीया) , amod sanskrit , standard 8th</x:v>
      </x:c>
      <x:c r="F30" s="6" t="str">
        <x:v>Amod Sanskrit</x:v>
      </x:c>
      <x:c r="G30" s="7"/>
      <x:c r="H30" s="7"/>
      <x:c r="I30" s="5" t="str">
        <x:f>IF(C30="Approved",IF(AND(D30&lt;&gt;"",E30&lt;&gt;"",F30&lt;&gt;""),"Ready for validation","Complete chosen fields"),IF(C30="Reject","Excluded","Needs review"))</x:f>
        <x:v>Ready for validation</x:v>
      </x:c>
      <x:c r="J30" s="5" t="str">
        <x:v>https://www.youtube.com/watch?v=sX1FHzDGbGE</x:v>
      </x:c>
      <x:c r="K30" s="5" t="str">
        <x:v>sanskrit atmanepada(आत्मनेपदीया) , amod sanskrit , standard 8th</x:v>
      </x:c>
      <x:c r="L30" s="5" t="str">
        <x:v>Amod Sanskrit</x:v>
      </x:c>
      <x:c r="M30" s="5" t="str">
        <x:v>Alternative: no suitable topic-specific public lesson identified in the preferred channel catalog/search. Direct आत्मनेपद lesson. Confirm teaching language and both-ending verbs.</x:v>
      </x:c>
      <x:c r="N30" s="6" t="str"/>
    </x:row>
    <x:row r="31" ht="135" hidden="0" customHeight="1">
      <x:c r="A31" s="5" t="str">
        <x:v>verb-classes-1</x:v>
      </x:c>
      <x:c r="B31" s="5" t="str">
        <x:v>Verb classes I</x:v>
      </x:c>
      <x:c r="C31" s="6" t="str">
        <x:v>Approved</x:v>
      </x:c>
      <x:c r="D31" s="6" t="str">
        <x:v>https://www.youtube.com/watch?v=dXFIe-SoGzE</x:v>
      </x:c>
      <x:c r="E31" s="6" t="str">
        <x:v>Sanskrit Songs- Conjugating Verbs</x:v>
      </x:c>
      <x:c r="F31" s="6" t="str">
        <x:v>simon chokoisky</x:v>
      </x:c>
      <x:c r="G31" s="7"/>
      <x:c r="H31" s="7"/>
      <x:c r="I31" s="5" t="str">
        <x:f>IF(C31="Approved",IF(AND(D31&lt;&gt;"",E31&lt;&gt;"",F31&lt;&gt;""),"Ready for validation","Complete chosen fields"),IF(C31="Reject","Excluded","Needs review"))</x:f>
        <x:v>Ready for validation</x:v>
      </x:c>
      <x:c r="J31" s="5" t="str">
        <x:v>https://www.youtube.com/watch?v=dXFIe-SoGzE</x:v>
      </x:c>
      <x:c r="K31" s="5" t="str">
        <x:v>Sanskrit Songs- Conjugating Verbs</x:v>
      </x:c>
      <x:c r="L31" s="5" t="str">
        <x:v>simon chokoisky</x:v>
      </x:c>
      <x:c r="M31" s="5" t="str">
        <x:v>Alternative: no suitable topic-specific public lesson identified in the preferred channel catalog/search. All four target classes: 1, 4, 6, 10. Musical memorization supplement; verify tone fits the app.</x:v>
      </x:c>
      <x:c r="N31" s="6" t="str"/>
    </x:row>
    <x:row r="32" ht="135" hidden="0" customHeight="1">
      <x:c r="A32" s="5" t="str">
        <x:v>verb-classes-2</x:v>
      </x:c>
      <x:c r="B32" s="5" t="str">
        <x:v>Verb classes II</x:v>
      </x:c>
      <x:c r="C32" s="6" t="str">
        <x:v>Approved</x:v>
      </x:c>
      <x:c r="D32" s="6" t="str">
        <x:v>https://www.youtube.com/watch?v=TrOHM9J3lAQ</x:v>
      </x:c>
      <x:c r="E32" s="6" t="str">
        <x:v>Lesson 16- Athematic verbs -1</x:v>
      </x:c>
      <x:c r="F32" s="6" t="str">
        <x:v>Our Sanskrit</x:v>
      </x:c>
      <x:c r="G32" s="7"/>
      <x:c r="H32" s="7"/>
      <x:c r="I32" s="5" t="str">
        <x:f>IF(C32="Approved",IF(AND(D32&lt;&gt;"",E32&lt;&gt;"",F32&lt;&gt;""),"Ready for validation","Complete chosen fields"),IF(C32="Reject","Excluded","Needs review"))</x:f>
        <x:v>Ready for validation</x:v>
      </x:c>
      <x:c r="J32" s="5" t="str">
        <x:v>https://www.youtube.com/watch?v=TrOHM9J3lAQ</x:v>
      </x:c>
      <x:c r="K32" s="5" t="str">
        <x:v>Lesson 16- Athematic verbs -1</x:v>
      </x:c>
      <x:c r="L32" s="5" t="str">
        <x:v>Our Sanskrit</x:v>
      </x:c>
      <x:c r="M32" s="5" t="str">
        <x:v>Alternative: no suitable topic-specific public lesson identified in the preferred channel catalog/search. Introduction to the other verb system. Partial coverage: classes 3, 5, 7, 8, 9 need follow-on lessons. Alternative: https://www.youtube.com/watch?v=hi3IAER2lnA (Our Sanskrit; classes 7 and 9)</x:v>
      </x:c>
      <x:c r="N32" s="6" t="str"/>
    </x:row>
    <x:row r="33" ht="135" hidden="0" customHeight="1">
      <x:c r="A33" s="5" t="str">
        <x:v>prefixes</x:v>
      </x:c>
      <x:c r="B33" s="5" t="str">
        <x:v>Prefixes</x:v>
      </x:c>
      <x:c r="C33" s="6" t="str">
        <x:v>Approved</x:v>
      </x:c>
      <x:c r="D33" s="6" t="str">
        <x:v>https://www.youtube.com/watch?v=2IZQ5aTvKjU</x:v>
      </x:c>
      <x:c r="E33" s="6" t="str">
        <x:v>Introductory Sanskrit @ UBC [8.2]: Verbal Prefixes (Upasargas)</x:v>
      </x:c>
      <x:c r="F33" s="6" t="str">
        <x:v>UBC Sanskrit</x:v>
      </x:c>
      <x:c r="G33" s="7"/>
      <x:c r="H33" s="7"/>
      <x:c r="I33" s="5" t="str">
        <x:f>IF(C33="Approved",IF(AND(D33&lt;&gt;"",E33&lt;&gt;"",F33&lt;&gt;""),"Ready for validation","Complete chosen fields"),IF(C33="Reject","Excluded","Needs review"))</x:f>
        <x:v>Ready for validation</x:v>
      </x:c>
      <x:c r="J33" s="5" t="str">
        <x:v>https://www.youtube.com/watch?v=2IZQ5aTvKjU</x:v>
      </x:c>
      <x:c r="K33" s="5" t="str">
        <x:v>Introductory Sanskrit @ UBC [8.2]: Verbal Prefixes (Upasargas)</x:v>
      </x:c>
      <x:c r="L33" s="5" t="str">
        <x:v>UBC Sanskrit</x:v>
      </x:c>
      <x:c r="M33" s="5" t="str">
        <x:v>Alternative: no suitable topic-specific public lesson identified in the preferred channel catalog/search. Explains how prefixes change verb meaning. Check list of all 22 against the unit.</x:v>
      </x:c>
      <x:c r="N33" s="6" t="str"/>
    </x:row>
    <x:row r="34" ht="135" hidden="0" customHeight="1">
      <x:c r="A34" s="5" t="str">
        <x:v>passive-causative</x:v>
      </x:c>
      <x:c r="B34" s="5" t="str">
        <x:v>Passive and causative</x:v>
      </x:c>
      <x:c r="C34" s="6" t="str">
        <x:v>Approved</x:v>
      </x:c>
      <x:c r="D34" s="6" t="str">
        <x:v>https://www.youtube.com/watch?v=4te_W7n80WY</x:v>
      </x:c>
      <x:c r="E34" s="6" t="str">
        <x:v>Sanskrit Causatives: An Overview</x:v>
      </x:c>
      <x:c r="F34" s="6" t="str">
        <x:v>Study Sanskrit with Antonia Ruppel</x:v>
      </x:c>
      <x:c r="G34" s="7"/>
      <x:c r="H34" s="7"/>
      <x:c r="I34" s="5" t="str">
        <x:f>IF(C34="Approved",IF(AND(D34&lt;&gt;"",E34&lt;&gt;"",F34&lt;&gt;""),"Ready for validation","Complete chosen fields"),IF(C34="Reject","Excluded","Needs review"))</x:f>
        <x:v>Ready for validation</x:v>
      </x:c>
      <x:c r="J34" s="5" t="str">
        <x:v>https://www.youtube.com/watch?v=4te_W7n80WY</x:v>
      </x:c>
      <x:c r="K34" s="5" t="str">
        <x:v>Sanskrit Causatives: An Overview</x:v>
      </x:c>
      <x:c r="L34" s="5" t="str">
        <x:v>Study Sanskrit with Antonia Ruppel</x:v>
      </x:c>
      <x:c r="M34" s="5" t="str">
        <x:v>Alternative: no suitable topic-specific public lesson identified in the preferred channel catalog/search. Strong topic-specific causative explanation. Partial coverage: passive and desiderative need other clips. Alternative: https://www.youtube.com/watch?v=ekzpYRmR2T8 (Knowledgology; passive voice)</x:v>
      </x:c>
      <x:c r="N34" s="6" t="str"/>
    </x:row>
    <x:row r="35" ht="135" hidden="0" customHeight="1">
      <x:c r="A35" s="5" t="str">
        <x:v>participles</x:v>
      </x:c>
      <x:c r="B35" s="5" t="str">
        <x:v>Words made from verbs</x:v>
      </x:c>
      <x:c r="C35" s="6" t="str">
        <x:v>Approved</x:v>
      </x:c>
      <x:c r="D35" s="6" t="str">
        <x:v>https://www.youtube.com/watch?v=fe7cJokrqQw</x:v>
      </x:c>
      <x:c r="E35" s="6" t="str">
        <x:v>Lesson 31 - Sanskrit for Beginners Course: Gerunds + Semester 1 END</x:v>
      </x:c>
      <x:c r="F35" s="6" t="str">
        <x:v>Yes Vedanta - Andre Vas</x:v>
      </x:c>
      <x:c r="G35" s="7"/>
      <x:c r="H35" s="7"/>
      <x:c r="I35" s="5" t="str">
        <x:f>IF(C35="Approved",IF(AND(D35&lt;&gt;"",E35&lt;&gt;"",F35&lt;&gt;""),"Ready for validation","Complete chosen fields"),IF(C35="Reject","Excluded","Needs review"))</x:f>
        <x:v>Ready for validation</x:v>
      </x:c>
      <x:c r="J35" s="5" t="str">
        <x:v>https://www.youtube.com/watch?v=fe7cJokrqQw</x:v>
      </x:c>
      <x:c r="K35" s="5" t="str">
        <x:v>Lesson 31 - Sanskrit for Beginners Course: Gerunds + Semester 1 END</x:v>
      </x:c>
      <x:c r="L35" s="5" t="str">
        <x:v>Yes Vedanta - Andre Vas</x:v>
      </x:c>
      <x:c r="M35" s="5" t="str">
        <x:v>Alternative: no suitable topic-specific public lesson identified in the preferred channel catalog/search. Gerunds and English subtitles. Partial coverage: infinitives, participles and gerundives need more.</x:v>
      </x:c>
      <x:c r="N35" s="6" t="str"/>
    </x:row>
    <x:row r="36" ht="135" hidden="0" customHeight="1">
      <x:c r="A36" s="5" t="str">
        <x:v>story-past</x:v>
      </x:c>
      <x:c r="B36" s="5" t="str">
        <x:v>The story past</x:v>
      </x:c>
      <x:c r="C36" s="6" t="str">
        <x:v>Approved</x:v>
      </x:c>
      <x:c r="D36" s="6" t="str">
        <x:v>https://www.youtube.com/watch?v=xgLuyth9xcU</x:v>
      </x:c>
      <x:c r="E36" s="6" t="str">
        <x:v>Liṭ Lakāra Explained | Perfect Tense in Saṃskṛta</x:v>
      </x:c>
      <x:c r="F36" s="6" t="str">
        <x:v>Learn The Easy Way Sanskrit</x:v>
      </x:c>
      <x:c r="G36" s="7"/>
      <x:c r="H36" s="7"/>
      <x:c r="I36" s="5" t="str">
        <x:f>IF(C36="Approved",IF(AND(D36&lt;&gt;"",E36&lt;&gt;"",F36&lt;&gt;""),"Ready for validation","Complete chosen fields"),IF(C36="Reject","Excluded","Needs review"))</x:f>
        <x:v>Ready for validation</x:v>
      </x:c>
      <x:c r="J36" s="5" t="str">
        <x:v>https://www.youtube.com/watch?v=xgLuyth9xcU</x:v>
      </x:c>
      <x:c r="K36" s="5" t="str">
        <x:v>Liṭ Lakāra Explained | Perfect Tense in Saṃskṛta</x:v>
      </x:c>
      <x:c r="L36" s="5" t="str">
        <x:v>Learn The Easy Way Sanskrit</x:v>
      </x:c>
      <x:c r="M36" s="5" t="str">
        <x:v>Alternative: no suitable topic-specific public lesson identified in the preferred channel catalog/search. Direct perfect-tense explanation and paradigms. Check examples match the story's usage.</x:v>
      </x:c>
      <x:c r="N36" s="6" t="str"/>
    </x:row>
    <x:row r="37" ht="135" hidden="0" customHeight="1">
      <x:c r="A37" s="5" t="str">
        <x:v>aorist-rare</x:v>
      </x:c>
      <x:c r="B37" s="5" t="str">
        <x:v>The rare tenses</x:v>
      </x:c>
      <x:c r="C37" s="6" t="str">
        <x:v>Approved</x:v>
      </x:c>
      <x:c r="D37" s="6" t="str">
        <x:v>https://www.youtube.com/watch?v=9UkRHfCSuv8</x:v>
      </x:c>
      <x:c r="E37" s="6" t="str">
        <x:v>Lesson 34 - The Aorist</x:v>
      </x:c>
      <x:c r="F37" s="6" t="str">
        <x:v>Our Sanskrit</x:v>
      </x:c>
      <x:c r="G37" s="7"/>
      <x:c r="H37" s="7"/>
      <x:c r="I37" s="5" t="str">
        <x:f>IF(C37="Approved",IF(AND(D37&lt;&gt;"",E37&lt;&gt;"",F37&lt;&gt;""),"Ready for validation","Complete chosen fields"),IF(C37="Reject","Excluded","Needs review"))</x:f>
        <x:v>Ready for validation</x:v>
      </x:c>
      <x:c r="J37" s="5" t="str">
        <x:v>https://www.youtube.com/watch?v=9UkRHfCSuv8</x:v>
      </x:c>
      <x:c r="K37" s="5" t="str">
        <x:v>Lesson 34 - The Aorist</x:v>
      </x:c>
      <x:c r="L37" s="5" t="str">
        <x:v>Our Sanskrit</x:v>
      </x:c>
      <x:c r="M37" s="5" t="str">
        <x:v>Alternative: no suitable topic-specific public lesson identified in the preferred channel catalog/search. Aorist and benedictive together. Partial coverage: periphrastic future, conditional and Vedic लेट्.</x:v>
      </x:c>
      <x:c r="N37" s="6" t="str"/>
    </x:row>
    <x:row r="38" ht="135" hidden="0" customHeight="1">
      <x:c r="A38" s="5" t="str">
        <x:v>indeclinables</x:v>
      </x:c>
      <x:c r="B38" s="5" t="str">
        <x:v>Small words</x:v>
      </x:c>
      <x:c r="C38" s="6" t="str">
        <x:v>Approved</x:v>
      </x:c>
      <x:c r="D38" s="6" t="str">
        <x:v>https://www.youtube.com/watch?v=oVZExejYBWc</x:v>
      </x:c>
      <x:c r="E38" s="6" t="str">
        <x:v>Learn This One Word to Start Speaking in Sanskrit Today!</x:v>
      </x:c>
      <x:c r="F38" s="6" t="str">
        <x:v>The Sanskrit Channel</x:v>
      </x:c>
      <x:c r="G38" s="7"/>
      <x:c r="H38" s="7"/>
      <x:c r="I38" s="5" t="str">
        <x:f>IF(C38="Approved",IF(AND(D38&lt;&gt;"",E38&lt;&gt;"",F38&lt;&gt;""),"Ready for validation","Complete chosen fields"),IF(C38="Reject","Excluded","Needs review"))</x:f>
        <x:v>Ready for validation</x:v>
      </x:c>
      <x:c r="J38" s="5" t="str">
        <x:v>https://www.youtube.com/watch?v=oVZExejYBWc</x:v>
      </x:c>
      <x:c r="K38" s="5" t="str">
        <x:v>Learn This One Word to Start Speaking in Sanskrit Today!</x:v>
      </x:c>
      <x:c r="L38" s="5" t="str">
        <x:v>The Sanskrit Channel</x:v>
      </x:c>
      <x:c r="M38" s="5" t="str">
        <x:v>Preferred channel. Partial match: practical usage of एवम्. The alternative covers indeclinables more broadly, including इति if verified. Alternative: https://www.youtube.com/watch?v=vlVm8Kb9hFk (Our Sanskrit)</x:v>
      </x:c>
      <x:c r="N38" s="6" t="str"/>
    </x:row>
    <x:row r="39" ht="135" hidden="0" customHeight="1">
      <x:c r="A39" s="5" t="str">
        <x:v>vowel-sandhi</x:v>
      </x:c>
      <x:c r="B39" s="5" t="str">
        <x:v>Vowels that join</x:v>
      </x:c>
      <x:c r="C39" s="6" t="str">
        <x:v>Approved</x:v>
      </x:c>
      <x:c r="D39" s="6" t="str">
        <x:v>https://www.youtube.com/watch?v=oJtQZeQeUpA</x:v>
      </x:c>
      <x:c r="E39" s="6" t="str">
        <x:v>Sanskrit Swar Sandhi (संस्कृत स्वर सन्धि)</x:v>
      </x:c>
      <x:c r="F39" s="6" t="str">
        <x:v>Kailash sharma</x:v>
      </x:c>
      <x:c r="G39" s="7"/>
      <x:c r="H39" s="7"/>
      <x:c r="I39" s="5" t="str">
        <x:f>IF(C39="Approved",IF(AND(D39&lt;&gt;"",E39&lt;&gt;"",F39&lt;&gt;""),"Ready for validation","Complete chosen fields"),IF(C39="Reject","Excluded","Needs review"))</x:f>
        <x:v>Ready for validation</x:v>
      </x:c>
      <x:c r="J39" s="5" t="str">
        <x:v>https://www.youtube.com/watch?v=oJtQZeQeUpA</x:v>
      </x:c>
      <x:c r="K39" s="5" t="str">
        <x:v>Sanskrit Swar Sandhi (संस्कृत स्वर सन्धि)</x:v>
      </x:c>
      <x:c r="L39" s="5" t="str">
        <x:v>Kailash sharma</x:v>
      </x:c>
      <x:c r="M39" s="5" t="str">
        <x:v>Alternative: no suitable topic-specific public lesson identified in the preferred channel catalog/search. Publisher lists chapters for long-vowel, guṇa, vṛddhi, yaṇ and ayādi joins. Select a short section manually. Alternative: https://www.youtube.com/watch?v=NrzXAzztjRY (Academy of Indian Philosophy; vṛddhi only)</x:v>
      </x:c>
      <x:c r="N39" s="6" t="str"/>
    </x:row>
    <x:row r="40" ht="135" hidden="0" customHeight="1">
      <x:c r="A40" s="5" t="str">
        <x:v>visarga-sandhi</x:v>
      </x:c>
      <x:c r="B40" s="5" t="str">
        <x:v>The breath that changes</x:v>
      </x:c>
      <x:c r="C40" s="6" t="str">
        <x:v>Approved</x:v>
      </x:c>
      <x:c r="D40" s="6" t="str">
        <x:v>https://www.youtube.com/watch?v=vIe9nhG42e4</x:v>
      </x:c>
      <x:c r="E40" s="6" t="str">
        <x:v>Visarga Sandhi in Sanskrit। संस्कृत-विसर्ग संधि।।</x:v>
      </x:c>
      <x:c r="F40" s="6" t="str">
        <x:v>Saral Sanskrit Sugam Sanskrit</x:v>
      </x:c>
      <x:c r="G40" s="7"/>
      <x:c r="H40" s="7"/>
      <x:c r="I40" s="5" t="str">
        <x:f>IF(C40="Approved",IF(AND(D40&lt;&gt;"",E40&lt;&gt;"",F40&lt;&gt;""),"Ready for validation","Complete chosen fields"),IF(C40="Reject","Excluded","Needs review"))</x:f>
        <x:v>Ready for validation</x:v>
      </x:c>
      <x:c r="J40" s="5" t="str">
        <x:v>https://www.youtube.com/watch?v=vIe9nhG42e4</x:v>
      </x:c>
      <x:c r="K40" s="5" t="str">
        <x:v>Visarga Sandhi in Sanskrit। संस्कृत-विसर्ग संधि।।</x:v>
      </x:c>
      <x:c r="L40" s="5" t="str">
        <x:v>Saral Sanskrit Sugam Sanskrit</x:v>
      </x:c>
      <x:c r="M40" s="5" t="str">
        <x:v>Alternative: no suitable topic-specific public lesson identified in the preferred channel catalog/search. Visarga rules taught through Laghu Siddhanta Kaumudi. Longer grammar lesson; check beginner suitability and choose a short passage.</x:v>
      </x:c>
      <x:c r="N40" s="6" t="str"/>
    </x:row>
    <x:row r="41" ht="135" hidden="0" customHeight="1">
      <x:c r="A41" s="5" t="str">
        <x:v>consonant-sandhi</x:v>
      </x:c>
      <x:c r="B41" s="5" t="str">
        <x:v>Consonants that join</x:v>
      </x:c>
      <x:c r="C41" s="6" t="str">
        <x:v>Approved</x:v>
      </x:c>
      <x:c r="D41" s="6" t="str">
        <x:v>https://www.youtube.com/watch?v=2ccGvupRxnI</x:v>
      </x:c>
      <x:c r="E41" s="6" t="str">
        <x:v>Class 10 संस्कृत सन्धि 2026 / व्यञ्जन एवं विसर्ग सन्धि 2026</x:v>
      </x:c>
      <x:c r="F41" s="6" t="str">
        <x:v>Kailash sharma</x:v>
      </x:c>
      <x:c r="G41" s="7"/>
      <x:c r="H41" s="7"/>
      <x:c r="I41" s="5" t="str">
        <x:f>IF(C41="Approved",IF(AND(D41&lt;&gt;"",E41&lt;&gt;"",F41&lt;&gt;""),"Ready for validation","Complete chosen fields"),IF(C41="Reject","Excluded","Needs review"))</x:f>
        <x:v>Ready for validation</x:v>
      </x:c>
      <x:c r="J41" s="5" t="str">
        <x:v>https://www.youtube.com/watch?v=2ccGvupRxnI</x:v>
      </x:c>
      <x:c r="K41" s="5" t="str">
        <x:v>Class 10 संस्कृत सन्धि 2026 / व्यञ्जन एवं विसर्ग सन्धि 2026</x:v>
      </x:c>
      <x:c r="L41" s="5" t="str">
        <x:v>Kailash sharma</x:v>
      </x:c>
      <x:c r="M41" s="5" t="str">
        <x:v>Alternative: no suitable topic-specific public lesson identified in the preferred channel catalog/search. Worked examples for identifying joins. Select consonant portion; avoid repeating the preceding unit.</x:v>
      </x:c>
      <x:c r="N41" s="6" t="str"/>
    </x:row>
    <x:row r="42" ht="135" hidden="0" customHeight="1">
      <x:c r="A42" s="5" t="str">
        <x:v>splitting</x:v>
      </x:c>
      <x:c r="B42" s="5" t="str">
        <x:v>Splitting the joins</x:v>
      </x:c>
      <x:c r="C42" s="6" t="str">
        <x:v>Approved</x:v>
      </x:c>
      <x:c r="D42" s="6" t="str">
        <x:v>https://www.youtube.com/watch?v=KCqFYM6Ocg4</x:v>
      </x:c>
      <x:c r="E42" s="6" t="str">
        <x:v>Sanskrit for Shastra-study by Br. Ved Chaitanya - Session 64 - Padaccheda - Anvaya</x:v>
      </x:c>
      <x:c r="F42" s="6" t="str">
        <x:v>Chinfo Channel</x:v>
      </x:c>
      <x:c r="G42" s="7"/>
      <x:c r="H42" s="7"/>
      <x:c r="I42" s="5" t="str">
        <x:f>IF(C42="Approved",IF(AND(D42&lt;&gt;"",E42&lt;&gt;"",F42&lt;&gt;""),"Ready for validation","Complete chosen fields"),IF(C42="Reject","Excluded","Needs review"))</x:f>
        <x:v>Ready for validation</x:v>
      </x:c>
      <x:c r="J42" s="5" t="str">
        <x:v>https://www.youtube.com/watch?v=KCqFYM6Ocg4</x:v>
      </x:c>
      <x:c r="K42" s="5" t="str">
        <x:v>Sanskrit for Shastra-study by Br. Ved Chaitanya - Session 64 - Padaccheda - Anvaya</x:v>
      </x:c>
      <x:c r="L42" s="5" t="str">
        <x:v>Chinfo Channel</x:v>
      </x:c>
      <x:c r="M42" s="5" t="str">
        <x:v>Alternative: no suitable topic-specific public lesson identified in the preferred channel catalog/search. Direct word-splitting and prose-order work. Longer session; select a complete example.</x:v>
      </x:c>
      <x:c r="N42" s="6" t="str"/>
    </x:row>
    <x:row r="43" ht="135" hidden="0" customHeight="1">
      <x:c r="A43" s="5" t="str">
        <x:v>compounds-1</x:v>
      </x:c>
      <x:c r="B43" s="5" t="str">
        <x:v>Compounds I</x:v>
      </x:c>
      <x:c r="C43" s="6" t="str">
        <x:v>Approved</x:v>
      </x:c>
      <x:c r="D43" s="6" t="str">
        <x:v>https://www.youtube.com/watch?v=k8Hw8YkyvDs</x:v>
      </x:c>
      <x:c r="E43" s="6" t="str">
        <x:v>Samaasa 03 |  Prathama Tatpurusha, Dvitiya Tatpurusha | Dr. Sowmya Krishnapur</x:v>
      </x:c>
      <x:c r="F43" s="6" t="str">
        <x:v>Learn Sanskrit Online : vyoma-samskrta-pathasala</x:v>
      </x:c>
      <x:c r="G43" s="7"/>
      <x:c r="H43" s="7"/>
      <x:c r="I43" s="5" t="str">
        <x:f>IF(C43="Approved",IF(AND(D43&lt;&gt;"",E43&lt;&gt;"",F43&lt;&gt;""),"Ready for validation","Complete chosen fields"),IF(C43="Reject","Excluded","Needs review"))</x:f>
        <x:v>Ready for validation</x:v>
      </x:c>
      <x:c r="J43" s="5" t="str">
        <x:v>https://www.youtube.com/watch?v=k8Hw8YkyvDs</x:v>
      </x:c>
      <x:c r="K43" s="5" t="str">
        <x:v>Samaasa 03 |  Prathama Tatpurusha, Dvitiya Tatpurusha | Dr. Sowmya Krishnapur</x:v>
      </x:c>
      <x:c r="L43" s="5" t="str">
        <x:v>Learn Sanskrit Online : vyoma-samskrta-pathasala</x:v>
      </x:c>
      <x:c r="M43" s="5" t="str">
        <x:v>Alternative: no suitable topic-specific public lesson identified in the preferred channel catalog/search. Direct compound analysis in simple Sanskrit. Partial coverage: dvandva, karmadhāraya and dvigu.</x:v>
      </x:c>
      <x:c r="N43" s="6" t="str"/>
    </x:row>
    <x:row r="44" ht="135" hidden="0" customHeight="1">
      <x:c r="A44" s="5" t="str">
        <x:v>compounds-2</x:v>
      </x:c>
      <x:c r="B44" s="5" t="str">
        <x:v>Compounds II</x:v>
      </x:c>
      <x:c r="C44" s="6" t="str">
        <x:v>Approved</x:v>
      </x:c>
      <x:c r="D44" s="6" t="str">
        <x:v>https://www.youtube.com/watch?v=rGDcDLoXZMo</x:v>
      </x:c>
      <x:c r="E44" s="6" t="str">
        <x:v>Samaasa14 |   Avyayibhava Samasa | Dr. Sowmya Krishnapur</x:v>
      </x:c>
      <x:c r="F44" s="6" t="str">
        <x:v>Learn Sanskrit Online : vyoma-samskrta-pathasala</x:v>
      </x:c>
      <x:c r="G44" s="7"/>
      <x:c r="H44" s="7"/>
      <x:c r="I44" s="5" t="str">
        <x:f>IF(C44="Approved",IF(AND(D44&lt;&gt;"",E44&lt;&gt;"",F44&lt;&gt;""),"Ready for validation","Complete chosen fields"),IF(C44="Reject","Excluded","Needs review"))</x:f>
        <x:v>Ready for validation</x:v>
      </x:c>
      <x:c r="J44" s="5" t="str">
        <x:v>https://www.youtube.com/watch?v=rGDcDLoXZMo</x:v>
      </x:c>
      <x:c r="K44" s="5" t="str">
        <x:v>Samaasa14 |   Avyayibhava Samasa | Dr. Sowmya Krishnapur</x:v>
      </x:c>
      <x:c r="L44" s="5" t="str">
        <x:v>Learn Sanskrit Online : vyoma-samskrta-pathasala</x:v>
      </x:c>
      <x:c r="M44" s="5" t="str">
        <x:v>Alternative: no suitable topic-specific public lesson identified in the preferred channel catalog/search. Compound adverbs and examples. Partial coverage: bahuvrīhi and long compounds.</x:v>
      </x:c>
      <x:c r="N44" s="6" t="str"/>
    </x:row>
    <x:row r="45" ht="135" hidden="0" customHeight="1">
      <x:c r="A45" s="5" t="str">
        <x:v>taddhita</x:v>
      </x:c>
      <x:c r="B45" s="5" t="str">
        <x:v>Word-making suffixes</x:v>
      </x:c>
      <x:c r="C45" s="6" t="str">
        <x:v>Approved</x:v>
      </x:c>
      <x:c r="D45" s="6" t="str">
        <x:v>https://www.youtube.com/watch?v=7tfLM9T4PEI</x:v>
      </x:c>
      <x:c r="E45" s="6" t="str">
        <x:v>37 | Special Lecture on Taddhitanta-s by Dr.Sowmya Krishnapur | Sankshepa Ramayanam  Grammatical</x:v>
      </x:c>
      <x:c r="F45" s="6" t="str">
        <x:v>Learn Sanskrit Online : vyoma-samskrta-pathasala</x:v>
      </x:c>
      <x:c r="G45" s="7"/>
      <x:c r="H45" s="7"/>
      <x:c r="I45" s="5" t="str">
        <x:f>IF(C45="Approved",IF(AND(D45&lt;&gt;"",E45&lt;&gt;"",F45&lt;&gt;""),"Ready for validation","Complete chosen fields"),IF(C45="Reject","Excluded","Needs review"))</x:f>
        <x:v>Ready for validation</x:v>
      </x:c>
      <x:c r="J45" s="5" t="str">
        <x:v>https://www.youtube.com/watch?v=7tfLM9T4PEI</x:v>
      </x:c>
      <x:c r="K45" s="5" t="str">
        <x:v>37 | Special Lecture on Taddhitanta-s by Dr.Sowmya Krishnapur | Sankshepa Ramayanam  Grammatical</x:v>
      </x:c>
      <x:c r="L45" s="5" t="str">
        <x:v>Learn Sanskrit Online : vyoma-samskrta-pathasala</x:v>
      </x:c>
      <x:c r="M45" s="5" t="str">
        <x:v>Alternative: no suitable topic-specific public lesson identified in the preferred channel catalog/search. Word-forming suffixes with examples. Choose a short passage matching the unit's suffixes.</x:v>
      </x:c>
      <x:c r="N45" s="6" t="str"/>
    </x:row>
    <x:row r="46" ht="135" hidden="0" customHeight="1">
      <x:c r="A46" s="5" t="str">
        <x:v>syntax</x:v>
      </x:c>
      <x:c r="B46" s="5" t="str">
        <x:v>Longer sentences</x:v>
      </x:c>
      <x:c r="C46" s="6" t="str">
        <x:v>Approved</x:v>
      </x:c>
      <x:c r="D46" s="6" t="str">
        <x:v>https://www.youtube.com/watch?v=1Pi30HIKQUo</x:v>
      </x:c>
      <x:c r="E46" s="6" t="str">
        <x:v>Introductory Sanskrit @ UBC [6.4]: Sanskrit Syntax - Relative/Correlatives</x:v>
      </x:c>
      <x:c r="F46" s="6" t="str">
        <x:v>UBC Sanskrit</x:v>
      </x:c>
      <x:c r="G46" s="7"/>
      <x:c r="H46" s="7"/>
      <x:c r="I46" s="5" t="str">
        <x:f>IF(C46="Approved",IF(AND(D46&lt;&gt;"",E46&lt;&gt;"",F46&lt;&gt;""),"Ready for validation","Complete chosen fields"),IF(C46="Reject","Excluded","Needs review"))</x:f>
        <x:v>Ready for validation</x:v>
      </x:c>
      <x:c r="J46" s="5" t="str">
        <x:v>https://www.youtube.com/watch?v=1Pi30HIKQUo</x:v>
      </x:c>
      <x:c r="K46" s="5" t="str">
        <x:v>Introductory Sanskrit @ UBC [6.4]: Sanskrit Syntax - Relative/Correlatives</x:v>
      </x:c>
      <x:c r="L46" s="5" t="str">
        <x:v>UBC Sanskrit</x:v>
      </x:c>
      <x:c r="M46" s="5" t="str">
        <x:v>Alternative: no suitable topic-specific public lesson identified in the preferred channel catalog/search. Direct यः … सः and related sentence patterns. Partial coverage: locative absolute.</x:v>
      </x:c>
      <x:c r="N46" s="6" t="str"/>
    </x:row>
    <x:row r="47" ht="135" hidden="0" customHeight="1">
      <x:c r="A47" s="5" t="str">
        <x:v>metre-1</x:v>
      </x:c>
      <x:c r="B47" s="5" t="str">
        <x:v>Rhythm</x:v>
      </x:c>
      <x:c r="C47" s="6" t="str">
        <x:v>Approved</x:v>
      </x:c>
      <x:c r="D47" s="6" t="str">
        <x:v>https://www.youtube.com/watch?v=LjM5GSSe8mU</x:v>
      </x:c>
      <x:c r="E47" s="6" t="str">
        <x:v>See, Hear, and Feel the Rhythms of Sanskrit! - Sanskrit Lessons for Beginners - Session 1 of 5</x:v>
      </x:c>
      <x:c r="F47" s="6" t="str">
        <x:v>The Sanskrit Channel</x:v>
      </x:c>
      <x:c r="G47" s="7"/>
      <x:c r="H47" s="7"/>
      <x:c r="I47" s="5" t="str">
        <x:f>IF(C47="Approved",IF(AND(D47&lt;&gt;"",E47&lt;&gt;"",F47&lt;&gt;""),"Ready for validation","Complete chosen fields"),IF(C47="Reject","Excluded","Needs review"))</x:f>
        <x:v>Ready for validation</x:v>
      </x:c>
      <x:c r="J47" s="5" t="str">
        <x:v>https://www.youtube.com/watch?v=LjM5GSSe8mU</x:v>
      </x:c>
      <x:c r="K47" s="5" t="str">
        <x:v>See, Hear, and Feel the Rhythms of Sanskrit! - Sanskrit Lessons for Beginners - Session 1 of 5</x:v>
      </x:c>
      <x:c r="L47" s="5" t="str">
        <x:v>The Sanskrit Channel</x:v>
      </x:c>
      <x:c r="M47" s="5" t="str">
        <x:v>Preferred channel. Partial match: rhythm workshop, full length 1:41:03. Select a self-contained short clip about light/heavy syllables or śloka. Alternative directly teaches anuṣṭubh. Alternative: https://www.youtube.com/watch?v=5RPQQw9Rmsg (CL Multimedia)</x:v>
      </x:c>
      <x:c r="N47" s="6" t="str"/>
    </x:row>
    <x:row r="48" ht="135" hidden="0" customHeight="1">
      <x:c r="A48" s="5" t="str">
        <x:v>metre-2</x:v>
      </x:c>
      <x:c r="B48" s="5" t="str">
        <x:v>The great metres</x:v>
      </x:c>
      <x:c r="C48" s="6" t="str">
        <x:v>Approved</x:v>
      </x:c>
      <x:c r="D48" s="6" t="str">
        <x:v>https://www.youtube.com/watch?v=XhaYLon88NM</x:v>
      </x:c>
      <x:c r="E48" s="6" t="str">
        <x:v>Deep dive into Chandas - Understanding the 10 Ganas.</x:v>
      </x:c>
      <x:c r="F48" s="6" t="str">
        <x:v>The Sanskrit Channel</x:v>
      </x:c>
      <x:c r="G48" s="7"/>
      <x:c r="H48" s="7"/>
      <x:c r="I48" s="5" t="str">
        <x:f>IF(C48="Approved",IF(AND(D48&lt;&gt;"",E48&lt;&gt;"",F48&lt;&gt;""),"Ready for validation","Complete chosen fields"),IF(C48="Reject","Excluded","Needs review"))</x:f>
        <x:v>Ready for validation</x:v>
      </x:c>
      <x:c r="J48" s="5" t="str">
        <x:v>https://www.youtube.com/watch?v=XhaYLon88NM</x:v>
      </x:c>
      <x:c r="K48" s="5" t="str">
        <x:v>Deep dive into Chandas - Understanding the 10 Ganas.</x:v>
      </x:c>
      <x:c r="L48" s="5" t="str">
        <x:v>The Sanskrit Channel</x:v>
      </x:c>
      <x:c r="M48" s="5" t="str">
        <x:v>Preferred channel. Partial match: chandas and gaṇas, full length 1:43:24. Select a short worked example. Āryā and individual great metres still need the alternatives. Alternative: https://www.youtube.com/watch?v=fsSW9EvsOpo (Shreevatsa R); https://www.youtube.com/watch?v=wymrlv1WRnY (Edgar Leitan; Āryā recitation, not a full lesson)</x:v>
      </x:c>
      <x:c r="N48" s="6" t="str"/>
    </x:row>
    <x:row r="49" ht="135" hidden="0" customHeight="1">
      <x:c r="A49" s="5" t="str">
        <x:v>reading-verse</x:v>
      </x:c>
      <x:c r="B49" s="5" t="str">
        <x:v>Reading a verse</x:v>
      </x:c>
      <x:c r="C49" s="6" t="str">
        <x:v>Approved</x:v>
      </x:c>
      <x:c r="D49" s="6" t="str">
        <x:v>https://www.youtube.com/watch?v=DPLIg26NNEY</x:v>
      </x:c>
      <x:c r="E49" s="6" t="str">
        <x:v>Learn Sanskrit Through BhagavadGita Shlokas - Chapter1 - Shloka2</x:v>
      </x:c>
      <x:c r="F49" s="6" t="str">
        <x:v>The Sanskrit Channel</x:v>
      </x:c>
      <x:c r="G49" s="7"/>
      <x:c r="H49" s="7"/>
      <x:c r="I49" s="5" t="str">
        <x:f>IF(C49="Approved",IF(AND(D49&lt;&gt;"",E49&lt;&gt;"",F49&lt;&gt;""),"Ready for validation","Complete chosen fields"),IF(C49="Reject","Excluded","Needs review"))</x:f>
        <x:v>Ready for validation</x:v>
      </x:c>
      <x:c r="J49" s="5" t="str">
        <x:v>https://www.youtube.com/watch?v=DPLIg26NNEY</x:v>
      </x:c>
      <x:c r="K49" s="5" t="str">
        <x:v>Learn Sanskrit Through BhagavadGita Shlokas - Chapter1 - Shloka2</x:v>
      </x:c>
      <x:c r="L49" s="5" t="str">
        <x:v>The Sanskrit Channel</x:v>
      </x:c>
      <x:c r="M49" s="5" t="str">
        <x:v>Preferred channel. Bhagavadgītā 1.2 tutorial. Confirm padaccheda, anvaya and explanation coverage. Alternative explicitly teaches split-and-reorder reading. Alternative: https://www.youtube.com/watch?v=Y5u48zzFJHo (Chinfo Channel)</x:v>
      </x:c>
      <x:c r="N49" s="6" t="str"/>
    </x:row>
    <x:row r="50" ht="135" hidden="0" customHeight="1">
      <x:c r="A50" s="5" t="str">
        <x:v>reading-kss</x:v>
      </x:c>
      <x:c r="B50" s="5" t="str">
        <x:v>The tale that survived</x:v>
      </x:c>
      <x:c r="C50" s="6" t="str">
        <x:v>Approved</x:v>
      </x:c>
      <x:c r="D50" s="6" t="str">
        <x:v>https://www.youtube.com/watch?v=Og0TzvLbxeE</x:v>
      </x:c>
      <x:c r="E50" s="6" t="str">
        <x:v>Understanding the Kathasaritsagara by Somadeva, introduction</x:v>
      </x:c>
      <x:c r="F50" s="6" t="str">
        <x:v>Gyro Masala</x:v>
      </x:c>
      <x:c r="G50" s="7"/>
      <x:c r="H50" s="7"/>
      <x:c r="I50" s="5" t="str">
        <x:f>IF(C50="Approved",IF(AND(D50&lt;&gt;"",E50&lt;&gt;"",F50&lt;&gt;""),"Ready for validation","Complete chosen fields"),IF(C50="Reject","Excluded","Needs review"))</x:f>
        <x:v>Ready for validation</x:v>
      </x:c>
      <x:c r="J50" s="5" t="str">
        <x:v>https://www.youtube.com/watch?v=Og0TzvLbxeE</x:v>
      </x:c>
      <x:c r="K50" s="5" t="str">
        <x:v>Understanding the Kathasaritsagara by Somadeva, introduction</x:v>
      </x:c>
      <x:c r="L50" s="5" t="str">
        <x:v>Gyro Masala</x:v>
      </x:c>
      <x:c r="M50" s="5" t="str">
        <x:v>Alternative: no suitable topic-specific public lesson identified in the preferred channel catalog/search. Context only, based on English translations. No suitable Sanskrit close-reading video verified. Prefer replacement.</x:v>
      </x:c>
      <x:c r="N50" s="6" t="str"/>
    </x:row>
    <x:row r="51" ht="135" hidden="0" customHeight="1">
      <x:c r="A51" s="5" t="str">
        <x:v>panini-gateway</x:v>
      </x:c>
      <x:c r="B51" s="5" t="str">
        <x:v>Pāṇini's grammar</x:v>
      </x:c>
      <x:c r="C51" s="6" t="str">
        <x:v>Approved</x:v>
      </x:c>
      <x:c r="D51" s="6" t="str">
        <x:v>https://www.youtube.com/watch?v=zh-2Zk0ENRA</x:v>
      </x:c>
      <x:c r="E51" s="6" t="str">
        <x:v>02|Maheshwara Sutras,...| An Entry into the meanings of Ashtadhyayi Sutras | Vid. Vaishnava Simha</x:v>
      </x:c>
      <x:c r="F51" s="6" t="str">
        <x:v>Learn Sanskrit Online : vyoma-samskrta-pathasala</x:v>
      </x:c>
      <x:c r="G51" s="7"/>
      <x:c r="H51" s="7"/>
      <x:c r="I51" s="5" t="str">
        <x:f>IF(C51="Approved",IF(AND(D51&lt;&gt;"",E51&lt;&gt;"",F51&lt;&gt;""),"Ready for validation","Complete chosen fields"),IF(C51="Reject","Excluded","Needs review"))</x:f>
        <x:v>Ready for validation</x:v>
      </x:c>
      <x:c r="J51" s="5" t="str">
        <x:v>https://www.youtube.com/watch?v=zh-2Zk0ENRA</x:v>
      </x:c>
      <x:c r="K51" s="5" t="str">
        <x:v>02|Maheshwara Sutras,...| An Entry into the meanings of Ashtadhyayi Sutras | Vid. Vaishnava Simha</x:v>
      </x:c>
      <x:c r="L51" s="5" t="str">
        <x:v>Learn Sanskrit Online : vyoma-samskrta-pathasala</x:v>
      </x:c>
      <x:c r="M51" s="5" t="str">
        <x:v>Alternative: the preferred channel's Maheshvara-sūtra lessons checked require membership. Includes Śiva sūtras, pratyāhāras and it markers. Publisher timestamps: 00:54 and 09:57; verify before setting clip. Alternative: https://www.youtube.com/watch?v=PrRAvECRkjY (Akashvani AIR; introduction to Pāṇini)</x:v>
      </x:c>
      <x:c r="N51" s="6" t="str"/>
    </x:row>
  </x:sheetData>
  <x:conditionalFormatting sqref="I8:I51">
    <x:cfRule type="containsText" dxfId="0" priority="1" operator="containsText" text="Complete"/>
  </x:conditionalFormatting>
  <x:dataValidations count="1">
    <x:dataValidation type="list" sqref="C8:C51">
      <x:formula1>"Pending,Approved,Replace,Reject"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1f3a79385d644e9"/>
  </x:tableParts>
</x:worksheet>
</file>